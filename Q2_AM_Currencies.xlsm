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hidePivotFieldList="1"/>
  <mc:AlternateContent xmlns:mc="http://schemas.openxmlformats.org/markup-compatibility/2006">
    <mc:Choice Requires="x15">
      <x15ac:absPath xmlns:x15ac="http://schemas.microsoft.com/office/spreadsheetml/2010/11/ac" url="https://myplace.bms.com/personal/tanmay_ghosh_bms_com/Documents/Desktop/New folder/appliedmaterialscasestudytableau/"/>
    </mc:Choice>
  </mc:AlternateContent>
  <xr:revisionPtr revIDLastSave="11" documentId="13_ncr:1_{6522E394-BA61-4D7F-BA0D-A93FDC1F86D5}" xr6:coauthVersionLast="47" xr6:coauthVersionMax="47" xr10:uidLastSave="{A05529C9-7584-4E6C-8015-DBC951754D89}"/>
  <bookViews>
    <workbookView xWindow="-108" yWindow="-108" windowWidth="23256" windowHeight="12576" xr2:uid="{00000000-000D-0000-FFFF-FFFF00000000}"/>
  </bookViews>
  <sheets>
    <sheet name="Form" sheetId="1" r:id="rId1"/>
    <sheet name="Database" sheetId="2" r:id="rId2"/>
    <sheet name="Max" sheetId="13" state="hidden" r:id="rId3"/>
    <sheet name="Statistics" sheetId="9" r:id="rId4"/>
    <sheet name="Long form" sheetId="12" r:id="rId5"/>
    <sheet name="Min" sheetId="14" state="hidden" r:id="rId6"/>
  </sheets>
  <functionGroups builtInGroupCount="19"/>
  <definedNames>
    <definedName name="_xlnm.database">Database!$A$2:$Q$1048576</definedName>
    <definedName name="Slicer_Date">#N/A</definedName>
  </definedNames>
  <calcPr calcId="191029"/>
  <pivotCaches>
    <pivotCache cacheId="97"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2" i="9" l="1"/>
  <c r="I12" i="9"/>
  <c r="H12" i="9"/>
  <c r="G12" i="9"/>
  <c r="F12" i="9"/>
  <c r="E12" i="9"/>
  <c r="G11" i="9"/>
  <c r="K7" i="9"/>
  <c r="F11" i="9"/>
  <c r="E11" i="9"/>
  <c r="H11" i="9"/>
  <c r="I11" i="9"/>
  <c r="K12" i="9"/>
  <c r="K11" i="9"/>
  <c r="J11" i="9"/>
  <c r="K10" i="9"/>
  <c r="J10" i="9"/>
  <c r="E10" i="9"/>
  <c r="F10" i="9"/>
  <c r="G10" i="9"/>
  <c r="H10" i="9"/>
  <c r="I10" i="9"/>
  <c r="K9" i="9"/>
  <c r="J9" i="9"/>
  <c r="I9" i="9"/>
  <c r="E9" i="9"/>
  <c r="F9" i="9"/>
  <c r="G9" i="9"/>
  <c r="H9" i="9"/>
  <c r="K8" i="9"/>
  <c r="J8" i="9"/>
  <c r="H8" i="9"/>
  <c r="I8" i="9"/>
  <c r="E8" i="9"/>
  <c r="F8" i="9"/>
  <c r="G8" i="9"/>
  <c r="J7" i="9"/>
  <c r="G7" i="9"/>
  <c r="H7" i="9"/>
  <c r="I7" i="9"/>
  <c r="E7" i="9"/>
  <c r="F7" i="9"/>
  <c r="K6" i="9"/>
  <c r="J6" i="9"/>
  <c r="F6" i="9"/>
  <c r="G6" i="9"/>
  <c r="H6" i="9"/>
  <c r="I6" i="9"/>
  <c r="E6" i="9"/>
  <c r="D12" i="9"/>
  <c r="D11" i="9"/>
  <c r="D10" i="9"/>
  <c r="D9" i="9"/>
  <c r="D8" i="9"/>
  <c r="D7" i="9"/>
  <c r="D6" i="9"/>
  <c r="C12" i="9"/>
  <c r="C11" i="9"/>
  <c r="C10" i="9"/>
  <c r="C9" i="9"/>
  <c r="C8" i="9"/>
  <c r="C7" i="9"/>
  <c r="C6" i="9"/>
</calcChain>
</file>

<file path=xl/sharedStrings.xml><?xml version="1.0" encoding="utf-8"?>
<sst xmlns="http://schemas.openxmlformats.org/spreadsheetml/2006/main" count="216" uniqueCount="110">
  <si>
    <t>LET</t>
  </si>
  <si>
    <t>LSC</t>
  </si>
  <si>
    <t>iMAP Ops</t>
  </si>
  <si>
    <t>Customer Insights</t>
  </si>
  <si>
    <t>EIM SOW</t>
  </si>
  <si>
    <t>NRDG</t>
  </si>
  <si>
    <t>3D Mapping</t>
  </si>
  <si>
    <t>FM Excellence</t>
  </si>
  <si>
    <t>VEEVA</t>
  </si>
  <si>
    <t>Open</t>
  </si>
  <si>
    <t>Closed</t>
  </si>
  <si>
    <t>Ongoing</t>
  </si>
  <si>
    <t>A one stop form to track all deliverables automatically in the database</t>
  </si>
  <si>
    <t>A one stop Interface to log all deliverables seemlessly</t>
  </si>
  <si>
    <t>M</t>
  </si>
  <si>
    <t>E</t>
  </si>
  <si>
    <t>D</t>
  </si>
  <si>
    <t>I</t>
  </si>
  <si>
    <t>A</t>
  </si>
  <si>
    <t>L</t>
  </si>
  <si>
    <t>T</t>
  </si>
  <si>
    <t>S</t>
  </si>
  <si>
    <t>ID</t>
  </si>
  <si>
    <t>Date</t>
  </si>
  <si>
    <t>Day</t>
  </si>
  <si>
    <t>Chinese Yuan</t>
  </si>
  <si>
    <t>Euro</t>
  </si>
  <si>
    <t>Japanese Yen</t>
  </si>
  <si>
    <t>U.K. Pound Sterling</t>
  </si>
  <si>
    <t>U.S. Dollar</t>
  </si>
  <si>
    <t>Australian Dollar</t>
  </si>
  <si>
    <t>Brazilian Real</t>
  </si>
  <si>
    <t>Brunei Dollar</t>
  </si>
  <si>
    <t>Chilean Peso</t>
  </si>
  <si>
    <t>Colombian Peso</t>
  </si>
  <si>
    <t>Danish Krone</t>
  </si>
  <si>
    <t>Hungarian Forint</t>
  </si>
  <si>
    <t>Indian Rupee</t>
  </si>
  <si>
    <t>Indonesian Rupiah</t>
  </si>
  <si>
    <t>Iranian Rial</t>
  </si>
  <si>
    <t>Israeli New Sheqel</t>
  </si>
  <si>
    <t>Kazakhstani Tenge</t>
  </si>
  <si>
    <t>Korean Won</t>
  </si>
  <si>
    <t>Malaysian Ringgit</t>
  </si>
  <si>
    <t>Mauritian Rupee</t>
  </si>
  <si>
    <t>Mexican Peso</t>
  </si>
  <si>
    <t>Nepalese Rupee</t>
  </si>
  <si>
    <t>New Zealand Dollar</t>
  </si>
  <si>
    <t>Norwegian Krone</t>
  </si>
  <si>
    <t>Rial Omani</t>
  </si>
  <si>
    <t>Pakistani Rupee</t>
  </si>
  <si>
    <t>Nuevo Sol</t>
  </si>
  <si>
    <t>Philippine Peso</t>
  </si>
  <si>
    <t>Polish Zloty</t>
  </si>
  <si>
    <t>Qatar Riyal</t>
  </si>
  <si>
    <t>Russian Ruble</t>
  </si>
  <si>
    <t>Saudi Arabian Riyal</t>
  </si>
  <si>
    <t>Singapore Dollar</t>
  </si>
  <si>
    <t>South African Rand</t>
  </si>
  <si>
    <t>Sri Lanka Rupee</t>
  </si>
  <si>
    <t>Swiss Franc</t>
  </si>
  <si>
    <t>Thai Baht</t>
  </si>
  <si>
    <t>Trinidad And Tobago Dollar</t>
  </si>
  <si>
    <t>U.A.E. Dirham</t>
  </si>
  <si>
    <t>Peso Uruguayo</t>
  </si>
  <si>
    <t>Bolivar Fuerte</t>
  </si>
  <si>
    <t>P</t>
  </si>
  <si>
    <t>R</t>
  </si>
  <si>
    <t>Currency Analysis System (Only selected 7 currencies as per question)</t>
  </si>
  <si>
    <t>Chinese Yen</t>
  </si>
  <si>
    <t>Currency Statistics</t>
  </si>
  <si>
    <t>Enter Day</t>
  </si>
  <si>
    <t>Currency</t>
  </si>
  <si>
    <t>Value at Day</t>
  </si>
  <si>
    <t>Average for month</t>
  </si>
  <si>
    <t>Correllation Matrix</t>
  </si>
  <si>
    <t>Algerian Di0r</t>
  </si>
  <si>
    <t>Bahrain Di0r</t>
  </si>
  <si>
    <t>Botswa0 Pula</t>
  </si>
  <si>
    <t>Ca0dian Dollar</t>
  </si>
  <si>
    <t>Czech Koru0</t>
  </si>
  <si>
    <t>Icelandic Kro0</t>
  </si>
  <si>
    <t>Kuwaiti Di0r</t>
  </si>
  <si>
    <t>Libyan Di0r</t>
  </si>
  <si>
    <t>Swedish Kro0</t>
  </si>
  <si>
    <t>Tunisian Di0r</t>
  </si>
  <si>
    <t>Feb</t>
  </si>
  <si>
    <t>Jul</t>
  </si>
  <si>
    <t>Average of Chinese Yuan</t>
  </si>
  <si>
    <t>Average of Indian Rupee</t>
  </si>
  <si>
    <t>Average of Australian Dollar</t>
  </si>
  <si>
    <t>Values</t>
  </si>
  <si>
    <t>Average of U.S. Dollar</t>
  </si>
  <si>
    <t>Average of U.K. Pound Sterling</t>
  </si>
  <si>
    <t>Average of Japanese Yen</t>
  </si>
  <si>
    <t>Average of Euro</t>
  </si>
  <si>
    <t>Max of Chinese Yuan</t>
  </si>
  <si>
    <t>Max of Euro</t>
  </si>
  <si>
    <t>Max of Japanese Yen</t>
  </si>
  <si>
    <t>Max of U.K. Pound Sterling</t>
  </si>
  <si>
    <t>Max of U.S. Dollar</t>
  </si>
  <si>
    <t>Max of Indian Rupee</t>
  </si>
  <si>
    <t>Max of Australian Dollar</t>
  </si>
  <si>
    <t>Min of Euro</t>
  </si>
  <si>
    <t>Min of Chinese Yuan</t>
  </si>
  <si>
    <t>Min of Japanese Yen</t>
  </si>
  <si>
    <t>Min of U.K. Pound Sterling</t>
  </si>
  <si>
    <t>Min of U.S. Dollar</t>
  </si>
  <si>
    <t>Min of Indian Rupee</t>
  </si>
  <si>
    <t>Min of Australian Dollar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</si>
</sst>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4"/>
      <color theme="1"/>
      <name val="Calibri"/>
      <family val="2"/>
      <scheme val="minor"/>
    </font>
    <font>
      <b/>
      <sz val="12"/>
      <color theme="1"/>
      <name val="Calibri"/>
      <family val="2"/>
      <scheme val="minor"/>
    </font>
    <font>
      <b/>
      <sz val="14"/>
      <color rgb="FFFF0000"/>
      <name val="Calibri"/>
      <family val="2"/>
      <scheme val="minor"/>
    </font>
    <font>
      <sz val="11"/>
      <color theme="0"/>
      <name val="Calibri"/>
      <family val="2"/>
      <scheme val="minor"/>
    </font>
    <font>
      <sz val="11"/>
      <name val="Calibri"/>
      <family val="2"/>
      <scheme val="minor"/>
    </font>
    <font>
      <b/>
      <sz val="11"/>
      <color theme="1"/>
      <name val="Calibri"/>
      <family val="2"/>
      <scheme val="minor"/>
    </font>
    <font>
      <sz val="11"/>
      <color rgb="FFFF0000"/>
      <name val="Calibri"/>
      <family val="2"/>
      <scheme val="minor"/>
    </font>
    <font>
      <sz val="14"/>
      <name val="Arial"/>
      <family val="2"/>
    </font>
    <font>
      <sz val="11"/>
      <color theme="1"/>
      <name val="Arial"/>
      <family val="2"/>
    </font>
    <font>
      <sz val="22"/>
      <color theme="0"/>
      <name val="Arial"/>
      <family val="2"/>
    </font>
    <font>
      <b/>
      <sz val="18"/>
      <name val="Arial"/>
      <family val="2"/>
    </font>
    <font>
      <sz val="11"/>
      <color theme="1"/>
      <name val="Calibri"/>
      <family val="2"/>
      <scheme val="minor"/>
    </font>
    <font>
      <b/>
      <sz val="11"/>
      <color theme="2"/>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theme="9" tint="-0.49998474074526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s>
  <cellStyleXfs count="2">
    <xf numFmtId="0" fontId="0" fillId="0" borderId="0"/>
    <xf numFmtId="9" fontId="12" fillId="0" borderId="0" applyFont="0" applyFill="0" applyBorder="0" applyAlignment="0" applyProtection="0"/>
  </cellStyleXfs>
  <cellXfs count="60">
    <xf numFmtId="0" fontId="0" fillId="0" borderId="0" xfId="0"/>
    <xf numFmtId="0" fontId="0" fillId="0" borderId="1" xfId="0" applyBorder="1"/>
    <xf numFmtId="0" fontId="0" fillId="0" borderId="2" xfId="0" applyBorder="1"/>
    <xf numFmtId="0" fontId="0" fillId="0" borderId="7" xfId="0" applyBorder="1"/>
    <xf numFmtId="0" fontId="0" fillId="0" borderId="8" xfId="0" applyBorder="1"/>
    <xf numFmtId="0" fontId="0" fillId="0" borderId="9" xfId="0" applyBorder="1"/>
    <xf numFmtId="0" fontId="0" fillId="0" borderId="10" xfId="0" applyBorder="1"/>
    <xf numFmtId="0" fontId="1" fillId="2" borderId="4" xfId="0" applyFont="1" applyFill="1" applyBorder="1"/>
    <xf numFmtId="0" fontId="0" fillId="2" borderId="5" xfId="0" applyFill="1" applyBorder="1"/>
    <xf numFmtId="0" fontId="0" fillId="2" borderId="6" xfId="0" applyFill="1" applyBorder="1"/>
    <xf numFmtId="0" fontId="0" fillId="2" borderId="3" xfId="0" applyFill="1" applyBorder="1"/>
    <xf numFmtId="0" fontId="5" fillId="0" borderId="0" xfId="0" applyFont="1"/>
    <xf numFmtId="0" fontId="0" fillId="0" borderId="14" xfId="0" applyBorder="1"/>
    <xf numFmtId="0" fontId="6" fillId="4" borderId="1" xfId="0" applyFont="1" applyFill="1" applyBorder="1"/>
    <xf numFmtId="0" fontId="6" fillId="5" borderId="1" xfId="0" applyFont="1" applyFill="1" applyBorder="1"/>
    <xf numFmtId="0" fontId="0" fillId="0" borderId="11" xfId="0" applyBorder="1" applyAlignment="1">
      <alignment horizontal="center"/>
    </xf>
    <xf numFmtId="0" fontId="0" fillId="0" borderId="18" xfId="0" applyBorder="1"/>
    <xf numFmtId="0" fontId="0" fillId="5" borderId="0" xfId="0" applyFill="1"/>
    <xf numFmtId="0" fontId="2" fillId="5" borderId="0" xfId="0" applyFont="1" applyFill="1" applyAlignment="1">
      <alignment horizontal="center" vertical="center"/>
    </xf>
    <xf numFmtId="0" fontId="0" fillId="5" borderId="20" xfId="0" applyFill="1" applyBorder="1"/>
    <xf numFmtId="0" fontId="0" fillId="0" borderId="19" xfId="0" applyBorder="1"/>
    <xf numFmtId="0" fontId="0" fillId="0" borderId="16" xfId="0" applyBorder="1"/>
    <xf numFmtId="0" fontId="0" fillId="0" borderId="17" xfId="0" applyBorder="1"/>
    <xf numFmtId="0" fontId="0" fillId="0" borderId="15" xfId="0" applyBorder="1"/>
    <xf numFmtId="15" fontId="0" fillId="0" borderId="1" xfId="0" applyNumberFormat="1" applyBorder="1"/>
    <xf numFmtId="4" fontId="0" fillId="0" borderId="1" xfId="0" applyNumberFormat="1" applyBorder="1"/>
    <xf numFmtId="0" fontId="0" fillId="0" borderId="20" xfId="0" applyBorder="1"/>
    <xf numFmtId="0" fontId="0" fillId="0" borderId="21" xfId="0" applyBorder="1"/>
    <xf numFmtId="0" fontId="0" fillId="0" borderId="22" xfId="0" applyBorder="1"/>
    <xf numFmtId="15" fontId="0" fillId="0" borderId="17" xfId="0" applyNumberFormat="1" applyBorder="1"/>
    <xf numFmtId="4" fontId="0" fillId="0" borderId="17" xfId="0" applyNumberFormat="1" applyBorder="1"/>
    <xf numFmtId="9" fontId="0" fillId="0" borderId="1" xfId="1" applyFont="1" applyBorder="1"/>
    <xf numFmtId="2" fontId="0" fillId="0" borderId="1" xfId="0" applyNumberFormat="1" applyBorder="1" applyAlignment="1">
      <alignment horizontal="center" vertical="center"/>
    </xf>
    <xf numFmtId="0" fontId="0" fillId="0" borderId="0" xfId="0" applyAlignment="1">
      <alignment horizontal="left"/>
    </xf>
    <xf numFmtId="0" fontId="0" fillId="0" borderId="0" xfId="0" applyNumberFormat="1"/>
    <xf numFmtId="0" fontId="0" fillId="0" borderId="1" xfId="0" pivotButton="1" applyBorder="1"/>
    <xf numFmtId="0" fontId="0" fillId="0" borderId="1" xfId="0" applyNumberFormat="1" applyBorder="1"/>
    <xf numFmtId="0" fontId="0" fillId="0" borderId="0" xfId="0" applyAlignment="1">
      <alignment horizontal="center"/>
    </xf>
    <xf numFmtId="0" fontId="5" fillId="0" borderId="0" xfId="0" applyFont="1" applyAlignment="1">
      <alignment horizontal="center"/>
    </xf>
    <xf numFmtId="0" fontId="4" fillId="0" borderId="0" xfId="0" applyFont="1" applyAlignment="1">
      <alignment horizontal="center"/>
    </xf>
    <xf numFmtId="0" fontId="3" fillId="5" borderId="12" xfId="0" applyFont="1" applyFill="1" applyBorder="1" applyAlignment="1">
      <alignment horizontal="center"/>
    </xf>
    <xf numFmtId="0" fontId="0" fillId="5" borderId="13" xfId="0" applyFill="1" applyBorder="1" applyAlignment="1">
      <alignment horizontal="center"/>
    </xf>
    <xf numFmtId="0" fontId="11" fillId="3" borderId="1" xfId="0" applyFont="1" applyFill="1" applyBorder="1" applyAlignment="1">
      <alignment horizontal="center"/>
    </xf>
    <xf numFmtId="0" fontId="10" fillId="3" borderId="1" xfId="0" applyFont="1" applyFill="1" applyBorder="1" applyAlignment="1">
      <alignment horizontal="center"/>
    </xf>
    <xf numFmtId="0" fontId="10" fillId="3" borderId="19" xfId="0" applyFont="1" applyFill="1" applyBorder="1" applyAlignment="1">
      <alignment horizontal="center"/>
    </xf>
    <xf numFmtId="0" fontId="8" fillId="2" borderId="4" xfId="0" applyFont="1" applyFill="1" applyBorder="1" applyAlignment="1">
      <alignment horizontal="center"/>
    </xf>
    <xf numFmtId="0" fontId="9" fillId="2" borderId="5" xfId="0" applyFont="1" applyFill="1" applyBorder="1" applyAlignment="1">
      <alignment horizontal="center"/>
    </xf>
    <xf numFmtId="0" fontId="9" fillId="2" borderId="12" xfId="0" applyFont="1" applyFill="1" applyBorder="1" applyAlignment="1">
      <alignment horizontal="center"/>
    </xf>
    <xf numFmtId="0" fontId="9" fillId="2" borderId="7" xfId="0" applyFont="1" applyFill="1" applyBorder="1" applyAlignment="1">
      <alignment horizontal="center"/>
    </xf>
    <xf numFmtId="0" fontId="9" fillId="2" borderId="0" xfId="0" applyFont="1" applyFill="1" applyAlignment="1">
      <alignment horizontal="center"/>
    </xf>
    <xf numFmtId="0" fontId="9" fillId="2" borderId="13" xfId="0" applyFont="1" applyFill="1" applyBorder="1" applyAlignment="1">
      <alignment horizontal="center"/>
    </xf>
    <xf numFmtId="0" fontId="7" fillId="0" borderId="0" xfId="0" applyFont="1" applyAlignment="1">
      <alignment horizontal="center"/>
    </xf>
    <xf numFmtId="0" fontId="7" fillId="0" borderId="2" xfId="0" applyFont="1" applyBorder="1" applyAlignment="1">
      <alignment horizontal="center"/>
    </xf>
    <xf numFmtId="0" fontId="6" fillId="6" borderId="14" xfId="0" applyFont="1" applyFill="1" applyBorder="1" applyAlignment="1">
      <alignment horizontal="center"/>
    </xf>
    <xf numFmtId="0" fontId="6" fillId="6" borderId="23" xfId="0" applyFont="1" applyFill="1" applyBorder="1" applyAlignment="1">
      <alignment horizontal="center"/>
    </xf>
    <xf numFmtId="0" fontId="6" fillId="6" borderId="19" xfId="0" applyFont="1" applyFill="1" applyBorder="1" applyAlignment="1">
      <alignment horizontal="center"/>
    </xf>
    <xf numFmtId="0" fontId="13" fillId="8" borderId="22" xfId="0" applyFont="1" applyFill="1" applyBorder="1" applyAlignment="1">
      <alignment horizontal="center"/>
    </xf>
    <xf numFmtId="0" fontId="13" fillId="8" borderId="3" xfId="0" applyFont="1" applyFill="1" applyBorder="1" applyAlignment="1">
      <alignment horizontal="center"/>
    </xf>
    <xf numFmtId="0" fontId="6" fillId="7" borderId="0" xfId="0" applyFont="1" applyFill="1" applyBorder="1" applyAlignment="1">
      <alignment horizontal="center"/>
    </xf>
    <xf numFmtId="0" fontId="6" fillId="7" borderId="13" xfId="0" applyFont="1" applyFill="1" applyBorder="1" applyAlignment="1">
      <alignment horizontal="center"/>
    </xf>
  </cellXfs>
  <cellStyles count="2">
    <cellStyle name="Normal" xfId="0" builtinId="0"/>
    <cellStyle name="Percent" xfId="1" builtinId="5"/>
  </cellStyles>
  <dxfs count="63">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4"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4" formatCode="#,##0.00"/>
      <border diagonalUp="0" diagonalDown="0">
        <left style="thin">
          <color indexed="64"/>
        </left>
        <right style="thin">
          <color indexed="64"/>
        </right>
        <top style="thin">
          <color indexed="64"/>
        </top>
        <bottom style="thin">
          <color indexed="64"/>
        </bottom>
        <vertical/>
        <horizontal/>
      </border>
    </dxf>
    <dxf>
      <numFmt numFmtId="4"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4"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4" formatCode="d\-mmm\-yy"/>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s>
  <tableStyles count="0" defaultTableStyle="TableStyleMedium2" defaultPivotStyle="PivotStyleLight16"/>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[Q2_AM_Currencies.xlsm]Long form!PivotTable14</c:name>
    <c:fmtId val="2"/>
  </c:pivotSource>
  <c:chart>
    <c:title>
      <c:tx>
        <c:rich>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r>
              <a:rPr lang="en-US"/>
              <a:t>Currency exchange rates averages across months</a:t>
            </a:r>
          </a:p>
        </c:rich>
      </c:tx>
      <c:layout>
        <c:manualLayout>
          <c:xMode val="edge"/>
          <c:yMode val="edge"/>
          <c:x val="0.29730096237970255"/>
          <c:y val="5.365853658536585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7"/>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8"/>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9"/>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0"/>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1"/>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2"/>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6"/>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7"/>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pPr>
            <a:solidFill>
              <a:schemeClr val="accent1"/>
            </a:solidFill>
            <a:ln w="9525">
              <a:solidFill>
                <a:schemeClr val="accent1"/>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9"/>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7"/>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8"/>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9"/>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3"/>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5"/>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6"/>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849944432621598E-2"/>
          <c:y val="6.3294299750992669E-2"/>
          <c:w val="0.95296836206285029"/>
          <c:h val="0.63847222222222222"/>
        </c:manualLayout>
      </c:layout>
      <c:areaChart>
        <c:grouping val="standard"/>
        <c:varyColors val="0"/>
        <c:ser>
          <c:idx val="0"/>
          <c:order val="0"/>
          <c:tx>
            <c:strRef>
              <c:f>'Long form'!$C$3</c:f>
              <c:strCache>
                <c:ptCount val="1"/>
                <c:pt idx="0">
                  <c:v>Total</c:v>
                </c:pt>
              </c:strCache>
            </c:strRef>
          </c:tx>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'Long form'!$A$4:$B$94</c:f>
              <c:multiLvlStrCache>
                <c:ptCount val="91"/>
                <c:lvl>
                  <c:pt idx="0">
                    <c:v>Average of Chinese Yuan</c:v>
                  </c:pt>
                  <c:pt idx="1">
                    <c:v>Average of Indian Rupee</c:v>
                  </c:pt>
                  <c:pt idx="2">
                    <c:v>Average of Australian Dollar</c:v>
                  </c:pt>
                  <c:pt idx="3">
                    <c:v>Average of U.S. Dollar</c:v>
                  </c:pt>
                  <c:pt idx="4">
                    <c:v>Average of U.K. Pound Sterling</c:v>
                  </c:pt>
                  <c:pt idx="5">
                    <c:v>Average of Japanese Yen</c:v>
                  </c:pt>
                  <c:pt idx="6">
                    <c:v>Average of Euro</c:v>
                  </c:pt>
                  <c:pt idx="7">
                    <c:v>Average of Chinese Yuan</c:v>
                  </c:pt>
                  <c:pt idx="8">
                    <c:v>Average of Indian Rupee</c:v>
                  </c:pt>
                  <c:pt idx="9">
                    <c:v>Average of Australian Dollar</c:v>
                  </c:pt>
                  <c:pt idx="10">
                    <c:v>Average of U.S. Dollar</c:v>
                  </c:pt>
                  <c:pt idx="11">
                    <c:v>Average of U.K. Pound Sterling</c:v>
                  </c:pt>
                  <c:pt idx="12">
                    <c:v>Average of Japanese Yen</c:v>
                  </c:pt>
                  <c:pt idx="13">
                    <c:v>Average of Euro</c:v>
                  </c:pt>
                  <c:pt idx="14">
                    <c:v>Average of Chinese Yuan</c:v>
                  </c:pt>
                  <c:pt idx="15">
                    <c:v>Average of Indian Rupee</c:v>
                  </c:pt>
                  <c:pt idx="16">
                    <c:v>Average of Australian Dollar</c:v>
                  </c:pt>
                  <c:pt idx="17">
                    <c:v>Average of U.S. Dollar</c:v>
                  </c:pt>
                  <c:pt idx="18">
                    <c:v>Average of U.K. Pound Sterling</c:v>
                  </c:pt>
                  <c:pt idx="19">
                    <c:v>Average of Japanese Yen</c:v>
                  </c:pt>
                  <c:pt idx="20">
                    <c:v>Average of Euro</c:v>
                  </c:pt>
                  <c:pt idx="21">
                    <c:v>Average of Chinese Yuan</c:v>
                  </c:pt>
                  <c:pt idx="22">
                    <c:v>Average of Indian Rupee</c:v>
                  </c:pt>
                  <c:pt idx="23">
                    <c:v>Average of Australian Dollar</c:v>
                  </c:pt>
                  <c:pt idx="24">
                    <c:v>Average of U.S. Dollar</c:v>
                  </c:pt>
                  <c:pt idx="25">
                    <c:v>Average of U.K. Pound Sterling</c:v>
                  </c:pt>
                  <c:pt idx="26">
                    <c:v>Average of Japanese Yen</c:v>
                  </c:pt>
                  <c:pt idx="27">
                    <c:v>Average of Euro</c:v>
                  </c:pt>
                  <c:pt idx="28">
                    <c:v>Average of Chinese Yuan</c:v>
                  </c:pt>
                  <c:pt idx="29">
                    <c:v>Average of Indian Rupee</c:v>
                  </c:pt>
                  <c:pt idx="30">
                    <c:v>Average of Australian Dollar</c:v>
                  </c:pt>
                  <c:pt idx="31">
                    <c:v>Average of U.S. Dollar</c:v>
                  </c:pt>
                  <c:pt idx="32">
                    <c:v>Average of U.K. Pound Sterling</c:v>
                  </c:pt>
                  <c:pt idx="33">
                    <c:v>Average of Japanese Yen</c:v>
                  </c:pt>
                  <c:pt idx="34">
                    <c:v>Average of Euro</c:v>
                  </c:pt>
                  <c:pt idx="35">
                    <c:v>Average of Chinese Yuan</c:v>
                  </c:pt>
                  <c:pt idx="36">
                    <c:v>Average of Indian Rupee</c:v>
                  </c:pt>
                  <c:pt idx="37">
                    <c:v>Average of Australian Dollar</c:v>
                  </c:pt>
                  <c:pt idx="38">
                    <c:v>Average of U.S. Dollar</c:v>
                  </c:pt>
                  <c:pt idx="39">
                    <c:v>Average of U.K. Pound Sterling</c:v>
                  </c:pt>
                  <c:pt idx="40">
                    <c:v>Average of Japanese Yen</c:v>
                  </c:pt>
                  <c:pt idx="41">
                    <c:v>Average of Euro</c:v>
                  </c:pt>
                  <c:pt idx="42">
                    <c:v>Average of Chinese Yuan</c:v>
                  </c:pt>
                  <c:pt idx="43">
                    <c:v>Average of Indian Rupee</c:v>
                  </c:pt>
                  <c:pt idx="44">
                    <c:v>Average of Australian Dollar</c:v>
                  </c:pt>
                  <c:pt idx="45">
                    <c:v>Average of U.S. Dollar</c:v>
                  </c:pt>
                  <c:pt idx="46">
                    <c:v>Average of U.K. Pound Sterling</c:v>
                  </c:pt>
                  <c:pt idx="47">
                    <c:v>Average of Japanese Yen</c:v>
                  </c:pt>
                  <c:pt idx="48">
                    <c:v>Average of Euro</c:v>
                  </c:pt>
                  <c:pt idx="49">
                    <c:v>Average of Chinese Yuan</c:v>
                  </c:pt>
                  <c:pt idx="50">
                    <c:v>Average of Indian Rupee</c:v>
                  </c:pt>
                  <c:pt idx="51">
                    <c:v>Average of Australian Dollar</c:v>
                  </c:pt>
                  <c:pt idx="52">
                    <c:v>Average of U.S. Dollar</c:v>
                  </c:pt>
                  <c:pt idx="53">
                    <c:v>Average of U.K. Pound Sterling</c:v>
                  </c:pt>
                  <c:pt idx="54">
                    <c:v>Average of Japanese Yen</c:v>
                  </c:pt>
                  <c:pt idx="55">
                    <c:v>Average of Euro</c:v>
                  </c:pt>
                  <c:pt idx="56">
                    <c:v>Average of Chinese Yuan</c:v>
                  </c:pt>
                  <c:pt idx="57">
                    <c:v>Average of Indian Rupee</c:v>
                  </c:pt>
                  <c:pt idx="58">
                    <c:v>Average of Australian Dollar</c:v>
                  </c:pt>
                  <c:pt idx="59">
                    <c:v>Average of U.S. Dollar</c:v>
                  </c:pt>
                  <c:pt idx="60">
                    <c:v>Average of U.K. Pound Sterling</c:v>
                  </c:pt>
                  <c:pt idx="61">
                    <c:v>Average of Japanese Yen</c:v>
                  </c:pt>
                  <c:pt idx="62">
                    <c:v>Average of Euro</c:v>
                  </c:pt>
                  <c:pt idx="63">
                    <c:v>Average of Chinese Yuan</c:v>
                  </c:pt>
                  <c:pt idx="64">
                    <c:v>Average of Indian Rupee</c:v>
                  </c:pt>
                  <c:pt idx="65">
                    <c:v>Average of Australian Dollar</c:v>
                  </c:pt>
                  <c:pt idx="66">
                    <c:v>Average of U.S. Dollar</c:v>
                  </c:pt>
                  <c:pt idx="67">
                    <c:v>Average of U.K. Pound Sterling</c:v>
                  </c:pt>
                  <c:pt idx="68">
                    <c:v>Average of Japanese Yen</c:v>
                  </c:pt>
                  <c:pt idx="69">
                    <c:v>Average of Euro</c:v>
                  </c:pt>
                  <c:pt idx="70">
                    <c:v>Average of Chinese Yuan</c:v>
                  </c:pt>
                  <c:pt idx="71">
                    <c:v>Average of Indian Rupee</c:v>
                  </c:pt>
                  <c:pt idx="72">
                    <c:v>Average of Australian Dollar</c:v>
                  </c:pt>
                  <c:pt idx="73">
                    <c:v>Average of U.S. Dollar</c:v>
                  </c:pt>
                  <c:pt idx="74">
                    <c:v>Average of U.K. Pound Sterling</c:v>
                  </c:pt>
                  <c:pt idx="75">
                    <c:v>Average of Japanese Yen</c:v>
                  </c:pt>
                  <c:pt idx="76">
                    <c:v>Average of Euro</c:v>
                  </c:pt>
                  <c:pt idx="77">
                    <c:v>Average of Chinese Yuan</c:v>
                  </c:pt>
                  <c:pt idx="78">
                    <c:v>Average of Indian Rupee</c:v>
                  </c:pt>
                  <c:pt idx="79">
                    <c:v>Average of Australian Dollar</c:v>
                  </c:pt>
                  <c:pt idx="80">
                    <c:v>Average of U.S. Dollar</c:v>
                  </c:pt>
                  <c:pt idx="81">
                    <c:v>Average of U.K. Pound Sterling</c:v>
                  </c:pt>
                  <c:pt idx="82">
                    <c:v>Average of Japanese Yen</c:v>
                  </c:pt>
                  <c:pt idx="83">
                    <c:v>Average of Euro</c:v>
                  </c:pt>
                  <c:pt idx="84">
                    <c:v>Average of Chinese Yuan</c:v>
                  </c:pt>
                  <c:pt idx="85">
                    <c:v>Average of Indian Rupee</c:v>
                  </c:pt>
                  <c:pt idx="86">
                    <c:v>Average of Australian Dollar</c:v>
                  </c:pt>
                  <c:pt idx="87">
                    <c:v>Average of U.S. Dollar</c:v>
                  </c:pt>
                  <c:pt idx="88">
                    <c:v>Average of U.K. Pound Sterling</c:v>
                  </c:pt>
                  <c:pt idx="89">
                    <c:v>Average of Japanese Yen</c:v>
                  </c:pt>
                  <c:pt idx="90">
                    <c:v>Average of Euro</c:v>
                  </c:pt>
                </c:lvl>
                <c:lvl>
                  <c:pt idx="0">
                    <c:v>01-Feb-16</c:v>
                  </c:pt>
                  <c:pt idx="7">
                    <c:v>01-Jul-16</c:v>
                  </c:pt>
                  <c:pt idx="14">
                    <c:v>05-Jul-16</c:v>
                  </c:pt>
                  <c:pt idx="21">
                    <c:v>06-Jul-16</c:v>
                  </c:pt>
                  <c:pt idx="28">
                    <c:v>07-Jul-16</c:v>
                  </c:pt>
                  <c:pt idx="35">
                    <c:v>08-Jul-16</c:v>
                  </c:pt>
                  <c:pt idx="42">
                    <c:v>11-Jul-16</c:v>
                  </c:pt>
                  <c:pt idx="49">
                    <c:v>12-Jul-16</c:v>
                  </c:pt>
                  <c:pt idx="56">
                    <c:v>13-Jul-16</c:v>
                  </c:pt>
                  <c:pt idx="63">
                    <c:v>14-Jul-16</c:v>
                  </c:pt>
                  <c:pt idx="70">
                    <c:v>15-Jul-16</c:v>
                  </c:pt>
                  <c:pt idx="77">
                    <c:v>18-Jul-16</c:v>
                  </c:pt>
                  <c:pt idx="84">
                    <c:v>02-Feb-17</c:v>
                  </c:pt>
                </c:lvl>
              </c:multiLvlStrCache>
            </c:multiLvlStrRef>
          </c:cat>
          <c:val>
            <c:numRef>
              <c:f>'Long form'!$C$4:$C$94</c:f>
              <c:numCache>
                <c:formatCode>General</c:formatCode>
                <c:ptCount val="91"/>
                <c:pt idx="0">
                  <c:v>2.3199999999999998</c:v>
                </c:pt>
                <c:pt idx="1">
                  <c:v>1.56</c:v>
                </c:pt>
                <c:pt idx="2">
                  <c:v>3.23</c:v>
                </c:pt>
                <c:pt idx="3">
                  <c:v>2.31</c:v>
                </c:pt>
                <c:pt idx="4">
                  <c:v>42.23</c:v>
                </c:pt>
                <c:pt idx="5">
                  <c:v>223.12</c:v>
                </c:pt>
                <c:pt idx="6">
                  <c:v>1.23</c:v>
                </c:pt>
                <c:pt idx="7">
                  <c:v>9.2944600000000008</c:v>
                </c:pt>
                <c:pt idx="8">
                  <c:v>94.145099999999999</c:v>
                </c:pt>
                <c:pt idx="9">
                  <c:v>1.8712599999999999</c:v>
                </c:pt>
                <c:pt idx="10">
                  <c:v>1.3959600000000001</c:v>
                </c:pt>
                <c:pt idx="11">
                  <c:v>1.05054</c:v>
                </c:pt>
                <c:pt idx="12">
                  <c:v>143.64500000000001</c:v>
                </c:pt>
                <c:pt idx="13">
                  <c:v>1.2536700000000001</c:v>
                </c:pt>
                <c:pt idx="14">
                  <c:v>9.3151499999999992</c:v>
                </c:pt>
                <c:pt idx="15">
                  <c:v>94.151300000000006</c:v>
                </c:pt>
                <c:pt idx="16">
                  <c:v>1.85825</c:v>
                </c:pt>
                <c:pt idx="17">
                  <c:v>1.3968400000000001</c:v>
                </c:pt>
                <c:pt idx="18">
                  <c:v>1.0614300000000001</c:v>
                </c:pt>
                <c:pt idx="19">
                  <c:v>142.715</c:v>
                </c:pt>
                <c:pt idx="20">
                  <c:v>1.25322</c:v>
                </c:pt>
                <c:pt idx="21">
                  <c:v>9.3169699999999995</c:v>
                </c:pt>
                <c:pt idx="22">
                  <c:v>0</c:v>
                </c:pt>
                <c:pt idx="23">
                  <c:v>1.87313</c:v>
                </c:pt>
                <c:pt idx="24">
                  <c:v>1.39286</c:v>
                </c:pt>
                <c:pt idx="25">
                  <c:v>1.073</c:v>
                </c:pt>
                <c:pt idx="26">
                  <c:v>140.54</c:v>
                </c:pt>
                <c:pt idx="27">
                  <c:v>1.25434</c:v>
                </c:pt>
                <c:pt idx="28">
                  <c:v>9.3131500000000003</c:v>
                </c:pt>
                <c:pt idx="29">
                  <c:v>94.034499999999994</c:v>
                </c:pt>
                <c:pt idx="30">
                  <c:v>1.85236</c:v>
                </c:pt>
                <c:pt idx="31">
                  <c:v>1.39316</c:v>
                </c:pt>
                <c:pt idx="32">
                  <c:v>1.06911</c:v>
                </c:pt>
                <c:pt idx="33">
                  <c:v>140.63999999999999</c:v>
                </c:pt>
                <c:pt idx="34">
                  <c:v>1.2573700000000001</c:v>
                </c:pt>
                <c:pt idx="35">
                  <c:v>9.3134999999999994</c:v>
                </c:pt>
                <c:pt idx="36">
                  <c:v>93.940799999999996</c:v>
                </c:pt>
                <c:pt idx="37">
                  <c:v>1.8597399999999999</c:v>
                </c:pt>
                <c:pt idx="38">
                  <c:v>1.3925700000000001</c:v>
                </c:pt>
                <c:pt idx="39">
                  <c:v>1.0726100000000001</c:v>
                </c:pt>
                <c:pt idx="40">
                  <c:v>140.51</c:v>
                </c:pt>
                <c:pt idx="41">
                  <c:v>1.25797</c:v>
                </c:pt>
                <c:pt idx="42">
                  <c:v>9.2940299999999993</c:v>
                </c:pt>
                <c:pt idx="43">
                  <c:v>93.302700000000002</c:v>
                </c:pt>
                <c:pt idx="44">
                  <c:v>1.83836</c:v>
                </c:pt>
                <c:pt idx="45">
                  <c:v>1.3896200000000001</c:v>
                </c:pt>
                <c:pt idx="46">
                  <c:v>1.0705</c:v>
                </c:pt>
                <c:pt idx="47">
                  <c:v>139.96199999999999</c:v>
                </c:pt>
                <c:pt idx="48">
                  <c:v>1.25769</c:v>
                </c:pt>
                <c:pt idx="49">
                  <c:v>9.3102099999999997</c:v>
                </c:pt>
                <c:pt idx="50">
                  <c:v>93.464100000000002</c:v>
                </c:pt>
                <c:pt idx="51">
                  <c:v>1.83439</c:v>
                </c:pt>
                <c:pt idx="52">
                  <c:v>1.39194</c:v>
                </c:pt>
                <c:pt idx="53">
                  <c:v>1.05762</c:v>
                </c:pt>
                <c:pt idx="54">
                  <c:v>143.369</c:v>
                </c:pt>
                <c:pt idx="55">
                  <c:v>1.2548999999999999</c:v>
                </c:pt>
                <c:pt idx="56">
                  <c:v>9.3134999999999994</c:v>
                </c:pt>
                <c:pt idx="57">
                  <c:v>93.544499999999999</c:v>
                </c:pt>
                <c:pt idx="58">
                  <c:v>1.83101</c:v>
                </c:pt>
                <c:pt idx="59">
                  <c:v>1.3919299999999999</c:v>
                </c:pt>
                <c:pt idx="60">
                  <c:v>1.0468</c:v>
                </c:pt>
                <c:pt idx="61">
                  <c:v>145.178</c:v>
                </c:pt>
                <c:pt idx="62">
                  <c:v>1.2571600000000001</c:v>
                </c:pt>
                <c:pt idx="63">
                  <c:v>9.3043200000000006</c:v>
                </c:pt>
                <c:pt idx="64">
                  <c:v>93.091700000000003</c:v>
                </c:pt>
                <c:pt idx="65">
                  <c:v>1.8279099999999999</c:v>
                </c:pt>
                <c:pt idx="66">
                  <c:v>1.3912199999999999</c:v>
                </c:pt>
                <c:pt idx="67">
                  <c:v>1.05236</c:v>
                </c:pt>
                <c:pt idx="68">
                  <c:v>144.89500000000001</c:v>
                </c:pt>
                <c:pt idx="69">
                  <c:v>1.24695</c:v>
                </c:pt>
                <c:pt idx="70">
                  <c:v>9.3153199999999998</c:v>
                </c:pt>
                <c:pt idx="71">
                  <c:v>0</c:v>
                </c:pt>
                <c:pt idx="72">
                  <c:v>1.82786</c:v>
                </c:pt>
                <c:pt idx="73">
                  <c:v>1.39392</c:v>
                </c:pt>
                <c:pt idx="74">
                  <c:v>1.0424199999999999</c:v>
                </c:pt>
                <c:pt idx="75">
                  <c:v>147.268</c:v>
                </c:pt>
                <c:pt idx="76">
                  <c:v>1.2526299999999999</c:v>
                </c:pt>
                <c:pt idx="77">
                  <c:v>9.3035399999999999</c:v>
                </c:pt>
                <c:pt idx="78">
                  <c:v>93.192300000000003</c:v>
                </c:pt>
                <c:pt idx="79">
                  <c:v>1.82741</c:v>
                </c:pt>
                <c:pt idx="80">
                  <c:v>1.38883</c:v>
                </c:pt>
                <c:pt idx="81">
                  <c:v>1.04952</c:v>
                </c:pt>
                <c:pt idx="82">
                  <c:v>0</c:v>
                </c:pt>
                <c:pt idx="83">
                  <c:v>1.2565200000000001</c:v>
                </c:pt>
                <c:pt idx="84">
                  <c:v>2.323</c:v>
                </c:pt>
                <c:pt idx="85">
                  <c:v>11.23</c:v>
                </c:pt>
                <c:pt idx="86">
                  <c:v>2.3199999999999998</c:v>
                </c:pt>
                <c:pt idx="87">
                  <c:v>323.22000000000003</c:v>
                </c:pt>
                <c:pt idx="88">
                  <c:v>2.54</c:v>
                </c:pt>
                <c:pt idx="89">
                  <c:v>4.34</c:v>
                </c:pt>
                <c:pt idx="90">
                  <c:v>1.2230000000000001</c:v>
                </c:pt>
              </c:numCache>
            </c:numRef>
          </c:val>
          <c:extLst>
            <c:ext xmlns:c16="http://schemas.microsoft.com/office/drawing/2014/chart" uri="{C3380CC4-5D6E-409C-BE32-E72D297353CC}">
              <c16:uniqueId val="{00000000-62C3-47EF-A1F3-73832ACB581E}"/>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665010928"/>
        <c:axId val="665005168"/>
      </c:areaChart>
      <c:catAx>
        <c:axId val="665010928"/>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665005168"/>
        <c:crosses val="autoZero"/>
        <c:auto val="1"/>
        <c:lblAlgn val="ctr"/>
        <c:lblOffset val="100"/>
        <c:noMultiLvlLbl val="0"/>
      </c:catAx>
      <c:valAx>
        <c:axId val="665005168"/>
        <c:scaling>
          <c:orientation val="minMax"/>
        </c:scaling>
        <c:delete val="1"/>
        <c:axPos val="l"/>
        <c:numFmt formatCode="General" sourceLinked="1"/>
        <c:majorTickMark val="out"/>
        <c:minorTickMark val="none"/>
        <c:tickLblPos val="nextTo"/>
        <c:crossAx val="66501092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[Q2_AM_Currencies.xlsm]Max!PivotTable15</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200"/>
              <a:t>Maximum amount of exchange rates across currencies</a:t>
            </a:r>
          </a:p>
        </c:rich>
      </c:tx>
      <c:layout>
        <c:manualLayout>
          <c:xMode val="edge"/>
          <c:yMode val="edge"/>
          <c:x val="0.15585906036817307"/>
          <c:y val="2.185792349726776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870986827581133"/>
          <c:y val="0.14393518518518519"/>
          <c:w val="0.81484153359334754"/>
          <c:h val="0.74553186060075827"/>
        </c:manualLayout>
      </c:layout>
      <c:barChart>
        <c:barDir val="bar"/>
        <c:grouping val="clustered"/>
        <c:varyColors val="0"/>
        <c:ser>
          <c:idx val="0"/>
          <c:order val="0"/>
          <c:tx>
            <c:strRef>
              <c:f>Max!$B$2</c:f>
              <c:strCache>
                <c:ptCount val="1"/>
                <c:pt idx="0">
                  <c:v>Feb</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Max!$A$3:$A$9</c:f>
              <c:strCache>
                <c:ptCount val="7"/>
                <c:pt idx="0">
                  <c:v>Max of Euro</c:v>
                </c:pt>
                <c:pt idx="1">
                  <c:v>Max of Chinese Yuan</c:v>
                </c:pt>
                <c:pt idx="2">
                  <c:v>Max of Japanese Yen</c:v>
                </c:pt>
                <c:pt idx="3">
                  <c:v>Max of U.K. Pound Sterling</c:v>
                </c:pt>
                <c:pt idx="4">
                  <c:v>Max of U.S. Dollar</c:v>
                </c:pt>
                <c:pt idx="5">
                  <c:v>Max of Indian Rupee</c:v>
                </c:pt>
                <c:pt idx="6">
                  <c:v>Max of Australian Dollar</c:v>
                </c:pt>
              </c:strCache>
            </c:strRef>
          </c:cat>
          <c:val>
            <c:numRef>
              <c:f>Max!$B$3:$B$9</c:f>
              <c:numCache>
                <c:formatCode>General</c:formatCode>
                <c:ptCount val="7"/>
                <c:pt idx="0">
                  <c:v>1.23</c:v>
                </c:pt>
                <c:pt idx="1">
                  <c:v>2.323</c:v>
                </c:pt>
                <c:pt idx="2">
                  <c:v>223.12</c:v>
                </c:pt>
                <c:pt idx="3">
                  <c:v>42.23</c:v>
                </c:pt>
                <c:pt idx="4">
                  <c:v>323.22000000000003</c:v>
                </c:pt>
                <c:pt idx="5">
                  <c:v>11.23</c:v>
                </c:pt>
                <c:pt idx="6">
                  <c:v>3.23</c:v>
                </c:pt>
              </c:numCache>
            </c:numRef>
          </c:val>
          <c:extLst>
            <c:ext xmlns:c16="http://schemas.microsoft.com/office/drawing/2014/chart" uri="{C3380CC4-5D6E-409C-BE32-E72D297353CC}">
              <c16:uniqueId val="{00000000-7E1D-403D-AD82-1EB1F1BEA118}"/>
            </c:ext>
          </c:extLst>
        </c:ser>
        <c:ser>
          <c:idx val="1"/>
          <c:order val="1"/>
          <c:tx>
            <c:strRef>
              <c:f>Max!$C$2</c:f>
              <c:strCache>
                <c:ptCount val="1"/>
                <c:pt idx="0">
                  <c:v>Jul</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Max!$A$3:$A$9</c:f>
              <c:strCache>
                <c:ptCount val="7"/>
                <c:pt idx="0">
                  <c:v>Max of Euro</c:v>
                </c:pt>
                <c:pt idx="1">
                  <c:v>Max of Chinese Yuan</c:v>
                </c:pt>
                <c:pt idx="2">
                  <c:v>Max of Japanese Yen</c:v>
                </c:pt>
                <c:pt idx="3">
                  <c:v>Max of U.K. Pound Sterling</c:v>
                </c:pt>
                <c:pt idx="4">
                  <c:v>Max of U.S. Dollar</c:v>
                </c:pt>
                <c:pt idx="5">
                  <c:v>Max of Indian Rupee</c:v>
                </c:pt>
                <c:pt idx="6">
                  <c:v>Max of Australian Dollar</c:v>
                </c:pt>
              </c:strCache>
            </c:strRef>
          </c:cat>
          <c:val>
            <c:numRef>
              <c:f>Max!$C$3:$C$9</c:f>
              <c:numCache>
                <c:formatCode>General</c:formatCode>
                <c:ptCount val="7"/>
                <c:pt idx="0">
                  <c:v>1.25797</c:v>
                </c:pt>
                <c:pt idx="1">
                  <c:v>9.3169699999999995</c:v>
                </c:pt>
                <c:pt idx="2">
                  <c:v>147.268</c:v>
                </c:pt>
                <c:pt idx="3">
                  <c:v>1.073</c:v>
                </c:pt>
                <c:pt idx="4">
                  <c:v>1.3968400000000001</c:v>
                </c:pt>
                <c:pt idx="5">
                  <c:v>94.151300000000006</c:v>
                </c:pt>
                <c:pt idx="6">
                  <c:v>1.87313</c:v>
                </c:pt>
              </c:numCache>
            </c:numRef>
          </c:val>
          <c:extLst>
            <c:ext xmlns:c16="http://schemas.microsoft.com/office/drawing/2014/chart" uri="{C3380CC4-5D6E-409C-BE32-E72D297353CC}">
              <c16:uniqueId val="{00000003-7E1D-403D-AD82-1EB1F1BEA118}"/>
            </c:ext>
          </c:extLst>
        </c:ser>
        <c:dLbls>
          <c:dLblPos val="outEnd"/>
          <c:showLegendKey val="0"/>
          <c:showVal val="1"/>
          <c:showCatName val="0"/>
          <c:showSerName val="0"/>
          <c:showPercent val="0"/>
          <c:showBubbleSize val="0"/>
        </c:dLbls>
        <c:gapWidth val="182"/>
        <c:overlap val="-50"/>
        <c:axId val="886130000"/>
        <c:axId val="886131440"/>
      </c:barChart>
      <c:catAx>
        <c:axId val="886130000"/>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86131440"/>
        <c:crosses val="autoZero"/>
        <c:auto val="1"/>
        <c:lblAlgn val="ctr"/>
        <c:lblOffset val="100"/>
        <c:noMultiLvlLbl val="0"/>
      </c:catAx>
      <c:valAx>
        <c:axId val="886131440"/>
        <c:scaling>
          <c:orientation val="minMax"/>
        </c:scaling>
        <c:delete val="1"/>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crossAx val="886130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[Q2_AM_Currencies.xlsm]Min!PivotTable15</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Minimum exchange rates across currencies</a:t>
            </a:r>
          </a:p>
        </c:rich>
      </c:tx>
      <c:layout>
        <c:manualLayout>
          <c:xMode val="edge"/>
          <c:yMode val="edge"/>
          <c:x val="0.12178966028338506"/>
          <c:y val="3.934426229508197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Min!$B$2</c:f>
              <c:strCache>
                <c:ptCount val="1"/>
                <c:pt idx="0">
                  <c:v>Feb</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Min!$A$3:$A$9</c:f>
              <c:strCache>
                <c:ptCount val="7"/>
                <c:pt idx="0">
                  <c:v>Min of Euro</c:v>
                </c:pt>
                <c:pt idx="1">
                  <c:v>Min of Chinese Yuan</c:v>
                </c:pt>
                <c:pt idx="2">
                  <c:v>Min of Japanese Yen</c:v>
                </c:pt>
                <c:pt idx="3">
                  <c:v>Min of U.K. Pound Sterling</c:v>
                </c:pt>
                <c:pt idx="4">
                  <c:v>Min of U.S. Dollar</c:v>
                </c:pt>
                <c:pt idx="5">
                  <c:v>Min of Indian Rupee</c:v>
                </c:pt>
                <c:pt idx="6">
                  <c:v>Min of Australian Dollar</c:v>
                </c:pt>
              </c:strCache>
            </c:strRef>
          </c:cat>
          <c:val>
            <c:numRef>
              <c:f>Min!$B$3:$B$9</c:f>
              <c:numCache>
                <c:formatCode>General</c:formatCode>
                <c:ptCount val="7"/>
                <c:pt idx="0">
                  <c:v>1.2230000000000001</c:v>
                </c:pt>
                <c:pt idx="1">
                  <c:v>2.3199999999999998</c:v>
                </c:pt>
                <c:pt idx="2">
                  <c:v>4.34</c:v>
                </c:pt>
                <c:pt idx="3">
                  <c:v>2.54</c:v>
                </c:pt>
                <c:pt idx="4">
                  <c:v>2.31</c:v>
                </c:pt>
                <c:pt idx="5">
                  <c:v>1.56</c:v>
                </c:pt>
                <c:pt idx="6">
                  <c:v>2.3199999999999998</c:v>
                </c:pt>
              </c:numCache>
            </c:numRef>
          </c:val>
          <c:extLst>
            <c:ext xmlns:c16="http://schemas.microsoft.com/office/drawing/2014/chart" uri="{C3380CC4-5D6E-409C-BE32-E72D297353CC}">
              <c16:uniqueId val="{00000000-30C7-4FB5-9D81-06838561CF3B}"/>
            </c:ext>
          </c:extLst>
        </c:ser>
        <c:ser>
          <c:idx val="1"/>
          <c:order val="1"/>
          <c:tx>
            <c:strRef>
              <c:f>Min!$C$2</c:f>
              <c:strCache>
                <c:ptCount val="1"/>
                <c:pt idx="0">
                  <c:v>Jul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Min!$A$3:$A$9</c:f>
              <c:strCache>
                <c:ptCount val="7"/>
                <c:pt idx="0">
                  <c:v>Min of Euro</c:v>
                </c:pt>
                <c:pt idx="1">
                  <c:v>Min of Chinese Yuan</c:v>
                </c:pt>
                <c:pt idx="2">
                  <c:v>Min of Japanese Yen</c:v>
                </c:pt>
                <c:pt idx="3">
                  <c:v>Min of U.K. Pound Sterling</c:v>
                </c:pt>
                <c:pt idx="4">
                  <c:v>Min of U.S. Dollar</c:v>
                </c:pt>
                <c:pt idx="5">
                  <c:v>Min of Indian Rupee</c:v>
                </c:pt>
                <c:pt idx="6">
                  <c:v>Min of Australian Dollar</c:v>
                </c:pt>
              </c:strCache>
            </c:strRef>
          </c:cat>
          <c:val>
            <c:numRef>
              <c:f>Min!$C$3:$C$9</c:f>
              <c:numCache>
                <c:formatCode>General</c:formatCode>
                <c:ptCount val="7"/>
                <c:pt idx="0">
                  <c:v>1.24695</c:v>
                </c:pt>
                <c:pt idx="1">
                  <c:v>9.2940299999999993</c:v>
                </c:pt>
                <c:pt idx="2">
                  <c:v>0</c:v>
                </c:pt>
                <c:pt idx="3">
                  <c:v>1.0424199999999999</c:v>
                </c:pt>
                <c:pt idx="4">
                  <c:v>1.38883</c:v>
                </c:pt>
                <c:pt idx="5">
                  <c:v>0</c:v>
                </c:pt>
                <c:pt idx="6">
                  <c:v>1.82741</c:v>
                </c:pt>
              </c:numCache>
            </c:numRef>
          </c:val>
          <c:extLst>
            <c:ext xmlns:c16="http://schemas.microsoft.com/office/drawing/2014/chart" uri="{C3380CC4-5D6E-409C-BE32-E72D297353CC}">
              <c16:uniqueId val="{00000001-30C7-4FB5-9D81-06838561CF3B}"/>
            </c:ext>
          </c:extLst>
        </c:ser>
        <c:dLbls>
          <c:dLblPos val="outEnd"/>
          <c:showLegendKey val="0"/>
          <c:showVal val="1"/>
          <c:showCatName val="0"/>
          <c:showSerName val="0"/>
          <c:showPercent val="0"/>
          <c:showBubbleSize val="0"/>
        </c:dLbls>
        <c:gapWidth val="115"/>
        <c:overlap val="-20"/>
        <c:axId val="382535312"/>
        <c:axId val="382532432"/>
      </c:barChart>
      <c:catAx>
        <c:axId val="38253531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2532432"/>
        <c:crosses val="autoZero"/>
        <c:auto val="1"/>
        <c:lblAlgn val="ctr"/>
        <c:lblOffset val="100"/>
        <c:noMultiLvlLbl val="0"/>
      </c:catAx>
      <c:valAx>
        <c:axId val="38253243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253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image" Target="../media/image10.emf"/><Relationship Id="rId7" Type="http://schemas.openxmlformats.org/officeDocument/2006/relationships/image" Target="../media/image6.emf"/><Relationship Id="rId12" Type="http://schemas.openxmlformats.org/officeDocument/2006/relationships/image" Target="../media/image1.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7.emf"/><Relationship Id="rId11" Type="http://schemas.openxmlformats.org/officeDocument/2006/relationships/image" Target="../media/image2.emf"/><Relationship Id="rId5" Type="http://schemas.openxmlformats.org/officeDocument/2006/relationships/image" Target="../media/image8.emf"/><Relationship Id="rId10" Type="http://schemas.openxmlformats.org/officeDocument/2006/relationships/image" Target="../media/image3.emf"/><Relationship Id="rId4" Type="http://schemas.openxmlformats.org/officeDocument/2006/relationships/image" Target="../media/image9.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594360</xdr:colOff>
          <xdr:row>6</xdr:row>
          <xdr:rowOff>144780</xdr:rowOff>
        </xdr:from>
        <xdr:to>
          <xdr:col>20</xdr:col>
          <xdr:colOff>472440</xdr:colOff>
          <xdr:row>9</xdr:row>
          <xdr:rowOff>167640</xdr:rowOff>
        </xdr:to>
        <xdr:sp macro="" textlink="">
          <xdr:nvSpPr>
            <xdr:cNvPr id="1025" name="txtprojec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586740</xdr:colOff>
          <xdr:row>8</xdr:row>
          <xdr:rowOff>167640</xdr:rowOff>
        </xdr:from>
        <xdr:to>
          <xdr:col>8</xdr:col>
          <xdr:colOff>502920</xdr:colOff>
          <xdr:row>10</xdr:row>
          <xdr:rowOff>30480</xdr:rowOff>
        </xdr:to>
        <xdr:sp macro="" textlink="">
          <xdr:nvSpPr>
            <xdr:cNvPr id="1027" name="txtD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579120</xdr:colOff>
          <xdr:row>12</xdr:row>
          <xdr:rowOff>53340</xdr:rowOff>
        </xdr:from>
        <xdr:to>
          <xdr:col>8</xdr:col>
          <xdr:colOff>518160</xdr:colOff>
          <xdr:row>13</xdr:row>
          <xdr:rowOff>137160</xdr:rowOff>
        </xdr:to>
        <xdr:sp macro="" textlink="">
          <xdr:nvSpPr>
            <xdr:cNvPr id="1028" name="txtstdat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579120</xdr:colOff>
          <xdr:row>15</xdr:row>
          <xdr:rowOff>99060</xdr:rowOff>
        </xdr:from>
        <xdr:to>
          <xdr:col>8</xdr:col>
          <xdr:colOff>495300</xdr:colOff>
          <xdr:row>17</xdr:row>
          <xdr:rowOff>53340</xdr:rowOff>
        </xdr:to>
        <xdr:sp macro="" textlink="">
          <xdr:nvSpPr>
            <xdr:cNvPr id="1029" name="txttaskcount"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594360</xdr:colOff>
          <xdr:row>4</xdr:row>
          <xdr:rowOff>76200</xdr:rowOff>
        </xdr:from>
        <xdr:to>
          <xdr:col>20</xdr:col>
          <xdr:colOff>495300</xdr:colOff>
          <xdr:row>6</xdr:row>
          <xdr:rowOff>22860</xdr:rowOff>
        </xdr:to>
        <xdr:sp macro="" textlink="">
          <xdr:nvSpPr>
            <xdr:cNvPr id="1030" name="cmbThread"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5</xdr:row>
          <xdr:rowOff>7620</xdr:rowOff>
        </xdr:from>
        <xdr:to>
          <xdr:col>16</xdr:col>
          <xdr:colOff>60960</xdr:colOff>
          <xdr:row>6</xdr:row>
          <xdr:rowOff>76200</xdr:rowOff>
        </xdr:to>
        <xdr:sp macro="" textlink="">
          <xdr:nvSpPr>
            <xdr:cNvPr id="1031" name="txtenddt"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8</xdr:row>
          <xdr:rowOff>121920</xdr:rowOff>
        </xdr:from>
        <xdr:to>
          <xdr:col>16</xdr:col>
          <xdr:colOff>60960</xdr:colOff>
          <xdr:row>10</xdr:row>
          <xdr:rowOff>22860</xdr:rowOff>
        </xdr:to>
        <xdr:sp macro="" textlink="">
          <xdr:nvSpPr>
            <xdr:cNvPr id="1034" name="txteta"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586740</xdr:colOff>
          <xdr:row>18</xdr:row>
          <xdr:rowOff>190500</xdr:rowOff>
        </xdr:from>
        <xdr:to>
          <xdr:col>8</xdr:col>
          <xdr:colOff>525780</xdr:colOff>
          <xdr:row>20</xdr:row>
          <xdr:rowOff>76200</xdr:rowOff>
        </xdr:to>
        <xdr:sp macro="" textlink="">
          <xdr:nvSpPr>
            <xdr:cNvPr id="1038" name="txterror"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579120</xdr:colOff>
          <xdr:row>5</xdr:row>
          <xdr:rowOff>60960</xdr:rowOff>
        </xdr:from>
        <xdr:to>
          <xdr:col>8</xdr:col>
          <xdr:colOff>502920</xdr:colOff>
          <xdr:row>6</xdr:row>
          <xdr:rowOff>160020</xdr:rowOff>
        </xdr:to>
        <xdr:sp macro="" textlink="">
          <xdr:nvSpPr>
            <xdr:cNvPr id="1041" name="txtpoc"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563880</xdr:colOff>
          <xdr:row>12</xdr:row>
          <xdr:rowOff>137160</xdr:rowOff>
        </xdr:from>
        <xdr:to>
          <xdr:col>19</xdr:col>
          <xdr:colOff>381000</xdr:colOff>
          <xdr:row>15</xdr:row>
          <xdr:rowOff>22860</xdr:rowOff>
        </xdr:to>
        <xdr:sp macro="" textlink="">
          <xdr:nvSpPr>
            <xdr:cNvPr id="1042" name="cmdSave"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579120</xdr:colOff>
          <xdr:row>16</xdr:row>
          <xdr:rowOff>15240</xdr:rowOff>
        </xdr:from>
        <xdr:to>
          <xdr:col>19</xdr:col>
          <xdr:colOff>396240</xdr:colOff>
          <xdr:row>18</xdr:row>
          <xdr:rowOff>76200</xdr:rowOff>
        </xdr:to>
        <xdr:sp macro="" textlink="">
          <xdr:nvSpPr>
            <xdr:cNvPr id="1043" name="cmdReset"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579120</xdr:colOff>
          <xdr:row>18</xdr:row>
          <xdr:rowOff>198120</xdr:rowOff>
        </xdr:from>
        <xdr:to>
          <xdr:col>19</xdr:col>
          <xdr:colOff>403860</xdr:colOff>
          <xdr:row>21</xdr:row>
          <xdr:rowOff>60960</xdr:rowOff>
        </xdr:to>
        <xdr:sp macro="" textlink="">
          <xdr:nvSpPr>
            <xdr:cNvPr id="1044" name="cmdedit"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569025</xdr:colOff>
      <xdr:row>6</xdr:row>
      <xdr:rowOff>148442</xdr:rowOff>
    </xdr:from>
    <xdr:to>
      <xdr:col>18</xdr:col>
      <xdr:colOff>486557</xdr:colOff>
      <xdr:row>9</xdr:row>
      <xdr:rowOff>164935</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9838376" y="1270000"/>
          <a:ext cx="1138051" cy="61026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Date (DD-MM-YYYY)</a:t>
          </a:r>
        </a:p>
      </xdr:txBody>
    </xdr:sp>
    <xdr:clientData/>
  </xdr:twoCellAnchor>
  <xdr:twoCellAnchor>
    <xdr:from>
      <xdr:col>16</xdr:col>
      <xdr:colOff>572984</xdr:colOff>
      <xdr:row>4</xdr:row>
      <xdr:rowOff>86427</xdr:rowOff>
    </xdr:from>
    <xdr:to>
      <xdr:col>18</xdr:col>
      <xdr:colOff>453572</xdr:colOff>
      <xdr:row>6</xdr:row>
      <xdr:rowOff>28699</xdr:rowOff>
    </xdr:to>
    <xdr:sp macro="" textlink="">
      <xdr:nvSpPr>
        <xdr:cNvPr id="21" name="Rectangle: Rounded Corners 20">
          <a:extLst>
            <a:ext uri="{FF2B5EF4-FFF2-40B4-BE49-F238E27FC236}">
              <a16:creationId xmlns:a16="http://schemas.microsoft.com/office/drawing/2014/main" id="{00000000-0008-0000-0000-000015000000}"/>
            </a:ext>
          </a:extLst>
        </xdr:cNvPr>
        <xdr:cNvSpPr/>
      </xdr:nvSpPr>
      <xdr:spPr>
        <a:xfrm>
          <a:off x="9842335" y="812141"/>
          <a:ext cx="1101107" cy="338116"/>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Day</a:t>
          </a:r>
        </a:p>
      </xdr:txBody>
    </xdr:sp>
    <xdr:clientData/>
  </xdr:twoCellAnchor>
  <xdr:twoCellAnchor>
    <xdr:from>
      <xdr:col>2</xdr:col>
      <xdr:colOff>181100</xdr:colOff>
      <xdr:row>5</xdr:row>
      <xdr:rowOff>32658</xdr:rowOff>
    </xdr:from>
    <xdr:to>
      <xdr:col>5</xdr:col>
      <xdr:colOff>470065</xdr:colOff>
      <xdr:row>6</xdr:row>
      <xdr:rowOff>174749</xdr:rowOff>
    </xdr:to>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906814" y="956294"/>
          <a:ext cx="2119745" cy="340013"/>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Chinese</a:t>
          </a:r>
          <a:r>
            <a:rPr lang="en-US" sz="1100" baseline="0"/>
            <a:t> Yuan</a:t>
          </a:r>
          <a:endParaRPr lang="en-US" sz="1100"/>
        </a:p>
      </xdr:txBody>
    </xdr:sp>
    <xdr:clientData/>
  </xdr:twoCellAnchor>
  <xdr:twoCellAnchor>
    <xdr:from>
      <xdr:col>2</xdr:col>
      <xdr:colOff>140195</xdr:colOff>
      <xdr:row>8</xdr:row>
      <xdr:rowOff>115454</xdr:rowOff>
    </xdr:from>
    <xdr:to>
      <xdr:col>5</xdr:col>
      <xdr:colOff>461817</xdr:colOff>
      <xdr:row>10</xdr:row>
      <xdr:rowOff>65974</xdr:rowOff>
    </xdr:to>
    <xdr:sp macro="" textlink="">
      <xdr:nvSpPr>
        <xdr:cNvPr id="23" name="Rectangle: Rounded Corners 22">
          <a:extLst>
            <a:ext uri="{FF2B5EF4-FFF2-40B4-BE49-F238E27FC236}">
              <a16:creationId xmlns:a16="http://schemas.microsoft.com/office/drawing/2014/main" id="{00000000-0008-0000-0000-000017000000}"/>
            </a:ext>
          </a:extLst>
        </xdr:cNvPr>
        <xdr:cNvSpPr/>
      </xdr:nvSpPr>
      <xdr:spPr>
        <a:xfrm>
          <a:off x="865909" y="1632857"/>
          <a:ext cx="2152402" cy="3463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Euro</a:t>
          </a:r>
        </a:p>
      </xdr:txBody>
    </xdr:sp>
    <xdr:clientData/>
  </xdr:twoCellAnchor>
  <xdr:twoCellAnchor>
    <xdr:from>
      <xdr:col>2</xdr:col>
      <xdr:colOff>164935</xdr:colOff>
      <xdr:row>12</xdr:row>
      <xdr:rowOff>41235</xdr:rowOff>
    </xdr:from>
    <xdr:to>
      <xdr:col>5</xdr:col>
      <xdr:colOff>461817</xdr:colOff>
      <xdr:row>13</xdr:row>
      <xdr:rowOff>181429</xdr:rowOff>
    </xdr:to>
    <xdr:sp macro=""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890649" y="2350326"/>
          <a:ext cx="2127662" cy="338116"/>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Japanese</a:t>
          </a:r>
          <a:r>
            <a:rPr lang="en-US" sz="1100" baseline="0"/>
            <a:t> Yen</a:t>
          </a:r>
          <a:endParaRPr lang="en-US" sz="1100"/>
        </a:p>
      </xdr:txBody>
    </xdr:sp>
    <xdr:clientData/>
  </xdr:twoCellAnchor>
  <xdr:twoCellAnchor>
    <xdr:from>
      <xdr:col>2</xdr:col>
      <xdr:colOff>193635</xdr:colOff>
      <xdr:row>15</xdr:row>
      <xdr:rowOff>94674</xdr:rowOff>
    </xdr:from>
    <xdr:to>
      <xdr:col>5</xdr:col>
      <xdr:colOff>453571</xdr:colOff>
      <xdr:row>17</xdr:row>
      <xdr:rowOff>36947</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919349" y="2997531"/>
          <a:ext cx="2090716" cy="33811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a:t>
          </a:r>
          <a:r>
            <a:rPr lang="en-US" sz="1100" baseline="0"/>
            <a:t> K, Pound Sterling</a:t>
          </a:r>
          <a:endParaRPr lang="en-US" sz="1100"/>
        </a:p>
      </xdr:txBody>
    </xdr:sp>
    <xdr:clientData/>
  </xdr:twoCellAnchor>
  <xdr:twoCellAnchor>
    <xdr:from>
      <xdr:col>9</xdr:col>
      <xdr:colOff>65973</xdr:colOff>
      <xdr:row>5</xdr:row>
      <xdr:rowOff>20452</xdr:rowOff>
    </xdr:from>
    <xdr:to>
      <xdr:col>12</xdr:col>
      <xdr:colOff>486558</xdr:colOff>
      <xdr:row>6</xdr:row>
      <xdr:rowOff>173182</xdr:rowOff>
    </xdr:to>
    <xdr:sp macro="" textlink="">
      <xdr:nvSpPr>
        <xdr:cNvPr id="26" name="Rectangle: Rounded Corners 25">
          <a:extLst>
            <a:ext uri="{FF2B5EF4-FFF2-40B4-BE49-F238E27FC236}">
              <a16:creationId xmlns:a16="http://schemas.microsoft.com/office/drawing/2014/main" id="{00000000-0008-0000-0000-00001A000000}"/>
            </a:ext>
          </a:extLst>
        </xdr:cNvPr>
        <xdr:cNvSpPr/>
      </xdr:nvSpPr>
      <xdr:spPr>
        <a:xfrm>
          <a:off x="5063505" y="944088"/>
          <a:ext cx="2251365" cy="350652"/>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U.S.</a:t>
          </a:r>
          <a:r>
            <a:rPr lang="en-US" sz="1100" baseline="0"/>
            <a:t> Dollar</a:t>
          </a:r>
          <a:endParaRPr lang="en-US" sz="1100"/>
        </a:p>
      </xdr:txBody>
    </xdr:sp>
    <xdr:clientData/>
  </xdr:twoCellAnchor>
  <xdr:twoCellAnchor>
    <xdr:from>
      <xdr:col>9</xdr:col>
      <xdr:colOff>57728</xdr:colOff>
      <xdr:row>8</xdr:row>
      <xdr:rowOff>127330</xdr:rowOff>
    </xdr:from>
    <xdr:to>
      <xdr:col>12</xdr:col>
      <xdr:colOff>494806</xdr:colOff>
      <xdr:row>10</xdr:row>
      <xdr:rowOff>86096</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5055260" y="1644733"/>
          <a:ext cx="2267858" cy="3546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Australian</a:t>
          </a:r>
          <a:r>
            <a:rPr lang="en-US" sz="1100" baseline="0"/>
            <a:t> Dollar</a:t>
          </a:r>
          <a:endParaRPr lang="en-US" sz="1100"/>
        </a:p>
      </xdr:txBody>
    </xdr:sp>
    <xdr:clientData/>
  </xdr:twoCellAnchor>
  <xdr:twoCellAnchor>
    <xdr:from>
      <xdr:col>2</xdr:col>
      <xdr:colOff>173180</xdr:colOff>
      <xdr:row>18</xdr:row>
      <xdr:rowOff>164934</xdr:rowOff>
    </xdr:from>
    <xdr:to>
      <xdr:col>5</xdr:col>
      <xdr:colOff>461818</xdr:colOff>
      <xdr:row>20</xdr:row>
      <xdr:rowOff>123699</xdr:rowOff>
    </xdr:to>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898894" y="3661557"/>
          <a:ext cx="2119418" cy="3546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Indian Rupee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603249</xdr:colOff>
      <xdr:row>12</xdr:row>
      <xdr:rowOff>177800</xdr:rowOff>
    </xdr:from>
    <xdr:to>
      <xdr:col>11</xdr:col>
      <xdr:colOff>15874</xdr:colOff>
      <xdr:row>29</xdr:row>
      <xdr:rowOff>19050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61914</xdr:colOff>
      <xdr:row>13</xdr:row>
      <xdr:rowOff>7936</xdr:rowOff>
    </xdr:from>
    <xdr:to>
      <xdr:col>13</xdr:col>
      <xdr:colOff>558801</xdr:colOff>
      <xdr:row>45</xdr:row>
      <xdr:rowOff>63500</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0888664" y="2397124"/>
              <a:ext cx="1719262" cy="58975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603250</xdr:colOff>
      <xdr:row>29</xdr:row>
      <xdr:rowOff>79374</xdr:rowOff>
    </xdr:from>
    <xdr:to>
      <xdr:col>6</xdr:col>
      <xdr:colOff>71438</xdr:colOff>
      <xdr:row>45</xdr:row>
      <xdr:rowOff>63499</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119063</xdr:colOff>
      <xdr:row>29</xdr:row>
      <xdr:rowOff>87311</xdr:rowOff>
    </xdr:from>
    <xdr:to>
      <xdr:col>11</xdr:col>
      <xdr:colOff>31748</xdr:colOff>
      <xdr:row>45</xdr:row>
      <xdr:rowOff>71436</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139700</xdr:colOff>
      <xdr:row>2</xdr:row>
      <xdr:rowOff>0</xdr:rowOff>
    </xdr:from>
    <xdr:to>
      <xdr:col>6</xdr:col>
      <xdr:colOff>220662</xdr:colOff>
      <xdr:row>17</xdr:row>
      <xdr:rowOff>171450</xdr:rowOff>
    </xdr:to>
    <mc:AlternateContent xmlns:mc="http://schemas.openxmlformats.org/markup-compatibility/2006" xmlns:a14="http://schemas.microsoft.com/office/drawing/2010/main">
      <mc:Choice Requires="a14">
        <xdr:graphicFrame macro="">
          <xdr:nvGraphicFramePr>
            <xdr:cNvPr id="4" name="Date 1">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3956050" y="368300"/>
              <a:ext cx="1719262" cy="2933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may Ghosh" refreshedDate="45100.60183796296" createdVersion="8" refreshedVersion="8" minRefreshableVersion="3" recordCount="13" xr:uid="{8136A4D8-2BB0-4E79-8B00-391A76DD2642}">
  <cacheSource type="worksheet">
    <worksheetSource name="Table2"/>
  </cacheSource>
  <cacheFields count="58">
    <cacheField name="ID" numFmtId="0">
      <sharedItems containsSemiMixedTypes="0" containsString="0" containsNumber="1" containsInteger="1" minValue="1" maxValue="13"/>
    </cacheField>
    <cacheField name="Date" numFmtId="15">
      <sharedItems containsSemiMixedTypes="0" containsNonDate="0" containsDate="1" containsString="0" minDate="2016-02-01T00:00:00" maxDate="2017-02-03T00:00:00" count="13">
        <d v="2016-07-01T00:00:00"/>
        <d v="2016-07-05T00:00:00"/>
        <d v="2016-07-06T00:00:00"/>
        <d v="2016-07-07T00:00:00"/>
        <d v="2016-07-08T00:00:00"/>
        <d v="2016-07-11T00:00:00"/>
        <d v="2016-07-12T00:00:00"/>
        <d v="2016-07-13T00:00:00"/>
        <d v="2016-07-14T00:00:00"/>
        <d v="2016-07-15T00:00:00"/>
        <d v="2016-07-18T00:00:00"/>
        <d v="2016-02-01T00:00:00"/>
        <d v="2017-02-02T00:00:00"/>
      </sharedItems>
      <fieldGroup par="56"/>
    </cacheField>
    <cacheField name="Day" numFmtId="0">
      <sharedItems containsSemiMixedTypes="0" containsString="0" containsNumber="1" containsInteger="1" minValue="1" maxValue="18"/>
    </cacheField>
    <cacheField name="Chinese Yuan" numFmtId="0">
      <sharedItems containsSemiMixedTypes="0" containsString="0" containsNumber="1" minValue="2.3199999999999998" maxValue="9.3169699999999995" count="12">
        <n v="9.2944600000000008"/>
        <n v="9.3151499999999992"/>
        <n v="9.3169699999999995"/>
        <n v="9.3131500000000003"/>
        <n v="9.3134999999999994"/>
        <n v="9.2940299999999993"/>
        <n v="9.3102099999999997"/>
        <n v="9.3043200000000006"/>
        <n v="9.3153199999999998"/>
        <n v="9.3035399999999999"/>
        <n v="2.3199999999999998"/>
        <n v="2.323"/>
      </sharedItems>
    </cacheField>
    <cacheField name="Euro" numFmtId="0">
      <sharedItems containsSemiMixedTypes="0" containsString="0" containsNumber="1" minValue="1.2230000000000001" maxValue="1.25797" count="13">
        <n v="1.2536700000000001"/>
        <n v="1.25322"/>
        <n v="1.25434"/>
        <n v="1.2573700000000001"/>
        <n v="1.25797"/>
        <n v="1.25769"/>
        <n v="1.2548999999999999"/>
        <n v="1.2571600000000001"/>
        <n v="1.24695"/>
        <n v="1.2526299999999999"/>
        <n v="1.2565200000000001"/>
        <n v="1.23"/>
        <n v="1.2230000000000001"/>
      </sharedItems>
    </cacheField>
    <cacheField name="Japanese Yen" numFmtId="0">
      <sharedItems containsSemiMixedTypes="0" containsString="0" containsNumber="1" minValue="0" maxValue="223.12"/>
    </cacheField>
    <cacheField name="U.K. Pound Sterling" numFmtId="0">
      <sharedItems containsSemiMixedTypes="0" containsString="0" containsNumber="1" minValue="1.0424199999999999" maxValue="42.23"/>
    </cacheField>
    <cacheField name="U.S. Dollar" numFmtId="0">
      <sharedItems containsSemiMixedTypes="0" containsString="0" containsNumber="1" minValue="1.38883" maxValue="323.22000000000003"/>
    </cacheField>
    <cacheField name="Algerian Di0r" numFmtId="0">
      <sharedItems containsString="0" containsBlank="1" containsNumber="1" minValue="0" maxValue="154.09399999999999"/>
    </cacheField>
    <cacheField name="Australian Dollar" numFmtId="0">
      <sharedItems containsSemiMixedTypes="0" containsString="0" containsNumber="1" minValue="1.82741" maxValue="3.23"/>
    </cacheField>
    <cacheField name="Bahrain Di0r" numFmtId="0">
      <sharedItems containsString="0" containsBlank="1" containsNumber="1" minValue="0.52220100000000003" maxValue="0.52521300000000004"/>
    </cacheField>
    <cacheField name="Botswa0 Pula" numFmtId="0">
      <sharedItems containsString="0" containsBlank="1" containsNumber="1" minValue="0" maxValue="15.2392"/>
    </cacheField>
    <cacheField name="Brazilian Real" numFmtId="0">
      <sharedItems containsString="0" containsBlank="1" containsNumber="1" minValue="4.4799300000000004" maxValue="4.6486799999999997"/>
    </cacheField>
    <cacheField name="Brunei Dollar" numFmtId="0">
      <sharedItems containsString="0" containsBlank="1" containsNumber="1" minValue="0" maxValue="1.8819699999999999"/>
    </cacheField>
    <cacheField name="Ca0dian Dollar" numFmtId="0">
      <sharedItems containsString="0" containsBlank="1" containsNumber="1" minValue="0" maxValue="1.8241499999999999"/>
    </cacheField>
    <cacheField name="Chilean Peso" numFmtId="0">
      <sharedItems containsString="0" containsBlank="1" containsNumber="1" minValue="903.54600000000005" maxValue="925.77200000000005"/>
    </cacheField>
    <cacheField name="Colombian Peso" numFmtId="4">
      <sharedItems containsString="0" containsBlank="1" containsNumber="1" minValue="4053.18" maxValue="4183.9399999999996"/>
    </cacheField>
    <cacheField name="Czech Koru0" numFmtId="0">
      <sharedItems containsString="0" containsBlank="1" containsNumber="1" minValue="0" maxValue="34.016800000000003"/>
    </cacheField>
    <cacheField name="Danish Krone" numFmtId="0">
      <sharedItems containsString="0" containsBlank="1" containsNumber="1" minValue="9.2745499999999996" maxValue="9.3634699999999995"/>
    </cacheField>
    <cacheField name="Hungarian Forint" numFmtId="0">
      <sharedItems containsString="0" containsBlank="1" containsNumber="1" minValue="392.45699999999999" maxValue="398.95600000000002"/>
    </cacheField>
    <cacheField name="Icelandic Kro0" numFmtId="0">
      <sharedItems containsString="0" containsBlank="1" containsNumber="1" minValue="168.874" maxValue="171.33600000000001"/>
    </cacheField>
    <cacheField name="Indian Rupee" numFmtId="0">
      <sharedItems containsSemiMixedTypes="0" containsString="0" containsNumber="1" minValue="0" maxValue="94.151300000000006"/>
    </cacheField>
    <cacheField name="Indonesian Rupiah" numFmtId="0">
      <sharedItems containsString="0" containsBlank="1" containsNumber="1" minValue="0" maxValue="18387.599999999999"/>
    </cacheField>
    <cacheField name="Iranian Rial" numFmtId="0">
      <sharedItems containsString="0" containsBlank="1" containsNumber="1" minValue="0" maxValue="43008.7"/>
    </cacheField>
    <cacheField name="Israeli New Sheqel" numFmtId="0">
      <sharedItems containsString="0" containsBlank="1" containsNumber="1" minValue="5.3582200000000002" maxValue="5.4252000000000002"/>
    </cacheField>
    <cacheField name="Kazakhstani Tenge" numFmtId="0">
      <sharedItems containsString="0" containsBlank="1" containsNumber="1" minValue="0" maxValue="471.892"/>
    </cacheField>
    <cacheField name="Korean Won" numFmtId="4">
      <sharedItems containsString="0" containsBlank="1" containsNumber="1" minValue="1573.13" maxValue="1624.15"/>
    </cacheField>
    <cacheField name="Kuwaiti Di0r" numFmtId="0">
      <sharedItems containsString="0" containsBlank="1" containsNumber="1" minValue="0" maxValue="0.421232"/>
    </cacheField>
    <cacheField name="Libyan Di0r" numFmtId="0">
      <sharedItems containsString="0" containsBlank="1" containsNumber="1" minValue="1.9323999999999999" maxValue="1.9323999999999999"/>
    </cacheField>
    <cacheField name="Malaysian Ringgit" numFmtId="0">
      <sharedItems containsString="0" containsBlank="1" containsNumber="1" minValue="0" maxValue="5.6294599999999999"/>
    </cacheField>
    <cacheField name="Mauritian Rupee" numFmtId="0">
      <sharedItems containsString="0" containsBlank="1" containsNumber="1" minValue="0" maxValue="49.584499999999998"/>
    </cacheField>
    <cacheField name="Mexican Peso" numFmtId="0">
      <sharedItems containsString="0" containsBlank="1" containsNumber="1" minValue="25.4678" maxValue="26.276"/>
    </cacheField>
    <cacheField name="Nepalese Rupee" numFmtId="0">
      <sharedItems containsString="0" containsBlank="1" containsNumber="1" minValue="149.036" maxValue="150.82"/>
    </cacheField>
    <cacheField name="New Zealand Dollar" numFmtId="0">
      <sharedItems containsString="0" containsBlank="1" containsNumber="1" minValue="1.90724" maxValue="1.9637100000000001"/>
    </cacheField>
    <cacheField name="Norwegian Krone" numFmtId="0">
      <sharedItems containsString="0" containsBlank="1" containsNumber="1" minValue="11.6274" maxValue="11.83"/>
    </cacheField>
    <cacheField name="Rial Omani" numFmtId="0">
      <sharedItems containsString="0" containsBlank="1" containsNumber="1" minValue="0.53400499999999995" maxValue="0.53708599999999995"/>
    </cacheField>
    <cacheField name="Pakistani Rupee" numFmtId="0">
      <sharedItems containsString="0" containsBlank="1" containsNumber="1" minValue="0" maxValue="146.154"/>
    </cacheField>
    <cacheField name="Nuevo Sol" numFmtId="0">
      <sharedItems containsString="0" containsBlank="1" containsNumber="1" minValue="0" maxValue="4.59002"/>
    </cacheField>
    <cacheField name="Philippine Peso" numFmtId="0">
      <sharedItems containsString="0" containsBlank="1" containsNumber="1" minValue="0" maxValue="65.969200000000001"/>
    </cacheField>
    <cacheField name="Polish Zloty" numFmtId="0">
      <sharedItems containsString="0" containsBlank="1" containsNumber="1" minValue="5.5196500000000004" maxValue="5.6027699999999996"/>
    </cacheField>
    <cacheField name="Qatar Riyal" numFmtId="0">
      <sharedItems containsString="0" containsBlank="1" containsNumber="1" minValue="5.0553600000000003" maxValue="5.0845000000000002"/>
    </cacheField>
    <cacheField name="Russian Ruble" numFmtId="0">
      <sharedItems containsString="0" containsBlank="1" containsNumber="1" minValue="0" maxValue="90.021199999999993"/>
    </cacheField>
    <cacheField name="Saudi Arabian Riyal" numFmtId="0">
      <sharedItems containsString="0" containsBlank="1" containsNumber="1" minValue="5.2081200000000001" maxValue="5.2381500000000001"/>
    </cacheField>
    <cacheField name="Singapore Dollar" numFmtId="0">
      <sharedItems containsString="0" containsBlank="1" containsNumber="1" minValue="0" maxValue="1.8819699999999999"/>
    </cacheField>
    <cacheField name="South African Rand" numFmtId="0">
      <sharedItems containsString="0" containsBlank="1" containsNumber="1" minValue="19.851900000000001" maxValue="20.723199999999999"/>
    </cacheField>
    <cacheField name="Sri Lanka Rupee" numFmtId="0">
      <sharedItems containsString="0" containsBlank="1" containsNumber="1" minValue="0" maxValue="202.886"/>
    </cacheField>
    <cacheField name="Swedish Kro0" numFmtId="0">
      <sharedItems containsString="0" containsBlank="1" containsNumber="1" minValue="0" maxValue="11.943899999999999"/>
    </cacheField>
    <cacheField name="Swiss Franc" numFmtId="0">
      <sharedItems containsString="0" containsBlank="1" containsNumber="1" minValue="1.3568899999999999" maxValue="1.37063"/>
    </cacheField>
    <cacheField name="Thai Baht" numFmtId="0">
      <sharedItems containsString="0" containsBlank="1" containsNumber="1" minValue="0" maxValue="49.069200000000002"/>
    </cacheField>
    <cacheField name="Trinidad And Tobago Dollar" numFmtId="0">
      <sharedItems containsString="0" containsBlank="1" containsNumber="1" minValue="0" maxValue="9.3143700000000003"/>
    </cacheField>
    <cacheField name="Tunisian Di0r" numFmtId="0">
      <sharedItems containsString="0" containsBlank="1" containsNumber="1" minValue="0" maxValue="3.0790099999999998"/>
    </cacheField>
    <cacheField name="U.A.E. Dirham" numFmtId="0">
      <sharedItems containsString="0" containsBlank="1" containsNumber="1" minValue="5.1004800000000001" maxValue="5.1299200000000003"/>
    </cacheField>
    <cacheField name="Peso Uruguayo" numFmtId="0">
      <sharedItems containsString="0" containsBlank="1" containsNumber="1" minValue="0" maxValue="42.9026"/>
    </cacheField>
    <cacheField name="Bolivar Fuerte" numFmtId="0">
      <sharedItems containsString="0" containsBlank="1" containsNumber="1" minValue="13.8536" maxValue="13.9335"/>
    </cacheField>
    <cacheField name="Months (Date)" numFmtId="0" databaseField="0">
      <fieldGroup base="1">
        <rangePr groupBy="months" startDate="2016-02-01T00:00:00" endDate="2017-02-03T00:00:00"/>
        <groupItems count="14">
          <s v="&lt;2/1/2016"/>
          <s v="Jan"/>
          <s v="Feb"/>
          <s v="Mar"/>
          <s v="Apr"/>
          <s v="May"/>
          <s v="Jun"/>
          <s v="Jul"/>
          <s v="Aug"/>
          <s v="Sep"/>
          <s v="Oct"/>
          <s v="Nov"/>
          <s v="Dec"/>
          <s v="&gt;2/3/2017"/>
        </groupItems>
      </fieldGroup>
    </cacheField>
    <cacheField name="Quarters (Date)" numFmtId="0" databaseField="0">
      <fieldGroup base="1">
        <rangePr groupBy="quarters" startDate="2016-02-01T00:00:00" endDate="2017-02-03T00:00:00"/>
        <groupItems count="6">
          <s v="&lt;2/1/2016"/>
          <s v="Qtr1"/>
          <s v="Qtr2"/>
          <s v="Qtr3"/>
          <s v="Qtr4"/>
          <s v="&gt;2/3/2017"/>
        </groupItems>
      </fieldGroup>
    </cacheField>
    <cacheField name="Years (Date)" numFmtId="0" databaseField="0">
      <fieldGroup base="1">
        <rangePr groupBy="years" startDate="2016-02-01T00:00:00" endDate="2017-02-03T00:00:00"/>
        <groupItems count="4">
          <s v="&lt;2/1/2016"/>
          <s v="2016"/>
          <s v="2017"/>
          <s v="&gt;2/3/2017"/>
        </groupItems>
      </fieldGroup>
    </cacheField>
    <cacheField name="Field1" numFmtId="0" formula=" MIN('Chinese Yuan')" databaseField="0"/>
  </cacheFields>
  <extLst>
    <ext xmlns:x14="http://schemas.microsoft.com/office/spreadsheetml/2009/9/main" uri="{725AE2AE-9491-48be-B2B4-4EB974FC3084}">
      <x14:pivotCacheDefinition pivotCacheId="19818395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n v="1"/>
    <x v="0"/>
    <n v="1"/>
    <x v="0"/>
    <x v="0"/>
    <n v="143.64500000000001"/>
    <n v="1.05054"/>
    <n v="1.3959600000000001"/>
    <n v="0"/>
    <n v="1.8712599999999999"/>
    <n v="0.52488199999999996"/>
    <n v="0"/>
    <n v="4.4799300000000004"/>
    <n v="1.87785"/>
    <n v="0"/>
    <n v="923.25"/>
    <n v="4074.83"/>
    <n v="33.970700000000001"/>
    <n v="9.3247"/>
    <n v="397.68200000000002"/>
    <n v="171.32599999999999"/>
    <n v="94.145099999999999"/>
    <n v="18387.599999999999"/>
    <n v="0"/>
    <n v="5.3660699999999997"/>
    <n v="471.892"/>
    <n v="1608.98"/>
    <n v="0.421232"/>
    <n v="1.9323999999999999"/>
    <n v="5.5740699999999999"/>
    <n v="49.577100000000002"/>
    <n v="25.558599999999998"/>
    <n v="150.82"/>
    <n v="1.95842"/>
    <n v="11.656000000000001"/>
    <n v="0.536748"/>
    <n v="0"/>
    <n v="0"/>
    <n v="65.619799999999998"/>
    <n v="5.52074"/>
    <n v="5.0812999999999997"/>
    <n v="89.364699999999999"/>
    <n v="5.2348600000000003"/>
    <n v="1.87785"/>
    <n v="20.352799999999998"/>
    <n v="202.76300000000001"/>
    <n v="11.8246"/>
    <n v="1.36009"/>
    <n v="0"/>
    <n v="9.2842800000000008"/>
    <n v="3.0603500000000001"/>
    <n v="5.1266800000000003"/>
    <n v="0"/>
    <n v="13.9247"/>
  </r>
  <r>
    <n v="2"/>
    <x v="1"/>
    <n v="5"/>
    <x v="1"/>
    <x v="1"/>
    <n v="142.715"/>
    <n v="1.0614300000000001"/>
    <n v="1.3968400000000001"/>
    <n v="154.06299999999999"/>
    <n v="1.85825"/>
    <n v="0.52521300000000004"/>
    <n v="15.216200000000001"/>
    <n v="4.5361099999999999"/>
    <n v="1.8819699999999999"/>
    <n v="1.80877"/>
    <n v="920.88699999999994"/>
    <n v="4070.93"/>
    <n v="0"/>
    <n v="9.3239199999999993"/>
    <n v="397.738"/>
    <n v="171.04300000000001"/>
    <n v="94.151300000000006"/>
    <n v="0"/>
    <n v="43008.7"/>
    <n v="5.4043799999999997"/>
    <n v="470.834"/>
    <n v="1603.72"/>
    <n v="0"/>
    <n v="1.9323999999999999"/>
    <n v="5.5880599999999996"/>
    <n v="49.584499999999998"/>
    <n v="26.195799999999998"/>
    <n v="150.244"/>
    <n v="1.9395199999999999"/>
    <n v="11.6797"/>
    <n v="0.53708599999999995"/>
    <n v="0"/>
    <n v="4.59002"/>
    <n v="65.418499999999995"/>
    <n v="5.5822000000000003"/>
    <n v="5.0845000000000002"/>
    <n v="89.7714"/>
    <n v="5.2381500000000001"/>
    <n v="1.8819699999999999"/>
    <n v="20.623999999999999"/>
    <n v="202.886"/>
    <n v="11.762700000000001"/>
    <n v="1.3568899999999999"/>
    <n v="49.0655"/>
    <n v="9.2672399999999993"/>
    <n v="0"/>
    <n v="5.1299200000000003"/>
    <n v="42.9026"/>
    <n v="13.9335"/>
  </r>
  <r>
    <n v="3"/>
    <x v="2"/>
    <n v="6"/>
    <x v="2"/>
    <x v="2"/>
    <n v="140.54"/>
    <n v="1.073"/>
    <n v="1.39286"/>
    <n v="154.09399999999999"/>
    <n v="1.87313"/>
    <n v="0.52371699999999999"/>
    <n v="15.2392"/>
    <n v="4.5822399999999996"/>
    <n v="0"/>
    <n v="1.81141"/>
    <n v="921.08199999999999"/>
    <n v="4132.4399999999996"/>
    <n v="0"/>
    <n v="9.3634699999999995"/>
    <n v="398.95600000000002"/>
    <n v="171.33600000000001"/>
    <n v="0"/>
    <n v="0"/>
    <n v="0"/>
    <n v="5.4252000000000002"/>
    <n v="0"/>
    <n v="1605.97"/>
    <n v="0"/>
    <n v="1.9323999999999999"/>
    <n v="0"/>
    <n v="0"/>
    <n v="26.208200000000001"/>
    <n v="150.387"/>
    <n v="1.9637100000000001"/>
    <n v="11.7677"/>
    <n v="0.53555600000000003"/>
    <n v="0"/>
    <n v="4.5685900000000004"/>
    <n v="0"/>
    <n v="5.6027699999999996"/>
    <n v="5.0700200000000004"/>
    <n v="90.021199999999993"/>
    <n v="5.2232099999999999"/>
    <n v="0"/>
    <n v="20.723199999999999"/>
    <n v="0"/>
    <n v="11.8805"/>
    <n v="1.36208"/>
    <n v="49.069200000000002"/>
    <n v="9.2564299999999999"/>
    <n v="0"/>
    <n v="5.1152699999999998"/>
    <n v="42.642499999999998"/>
    <n v="13.893800000000001"/>
  </r>
  <r>
    <n v="4"/>
    <x v="3"/>
    <n v="7"/>
    <x v="3"/>
    <x v="3"/>
    <n v="140.63999999999999"/>
    <n v="1.06911"/>
    <n v="1.39316"/>
    <n v="153.95699999999999"/>
    <n v="1.85236"/>
    <n v="0.52382899999999999"/>
    <n v="15.143000000000001"/>
    <n v="4.6303200000000002"/>
    <n v="1.8810500000000001"/>
    <n v="1.80888"/>
    <n v="925.77200000000005"/>
    <n v="4183.9399999999996"/>
    <n v="34.016800000000003"/>
    <n v="9.3561999999999994"/>
    <n v="397.88600000000002"/>
    <n v="170.99700000000001"/>
    <n v="94.034499999999994"/>
    <n v="0"/>
    <n v="0"/>
    <n v="5.4026899999999998"/>
    <n v="469.85899999999998"/>
    <n v="1624.15"/>
    <n v="0"/>
    <n v="1.9323999999999999"/>
    <n v="0"/>
    <n v="49.529699999999998"/>
    <n v="26.276"/>
    <n v="150.37799999999999"/>
    <n v="1.9509300000000001"/>
    <n v="11.7919"/>
    <n v="0.53566999999999998"/>
    <n v="0"/>
    <n v="4.5723500000000001"/>
    <n v="65.339399999999998"/>
    <n v="5.5776500000000002"/>
    <n v="5.0711000000000004"/>
    <n v="89.232299999999995"/>
    <n v="5.2243599999999999"/>
    <n v="1.8810500000000001"/>
    <n v="20.428799999999999"/>
    <n v="202.351"/>
    <n v="11.9192"/>
    <n v="1.3609800000000001"/>
    <n v="49.029499999999999"/>
    <n v="0"/>
    <n v="0"/>
    <n v="5.1163699999999999"/>
    <n v="42.4176"/>
    <n v="13.896800000000001"/>
  </r>
  <r>
    <n v="5"/>
    <x v="4"/>
    <n v="8"/>
    <x v="4"/>
    <x v="4"/>
    <n v="140.51"/>
    <n v="1.0726100000000001"/>
    <n v="1.3925700000000001"/>
    <n v="154.06200000000001"/>
    <n v="1.8597399999999999"/>
    <n v="0.52360700000000004"/>
    <n v="15.120200000000001"/>
    <n v="4.6486799999999997"/>
    <n v="1.87914"/>
    <n v="1.8205100000000001"/>
    <n v="924.75300000000004"/>
    <n v="4158.8999999999996"/>
    <n v="34.007899999999999"/>
    <n v="9.3608399999999996"/>
    <n v="396.005"/>
    <n v="171.14699999999999"/>
    <n v="93.940799999999996"/>
    <n v="0"/>
    <n v="0"/>
    <n v="5.4059600000000003"/>
    <n v="471.32900000000001"/>
    <n v="1610.65"/>
    <n v="0"/>
    <n v="1.9323999999999999"/>
    <n v="5.6294599999999999"/>
    <n v="49.449599999999997"/>
    <n v="25.900600000000001"/>
    <n v="150.17500000000001"/>
    <n v="1.9152400000000001"/>
    <n v="11.8161"/>
    <n v="0.53544400000000003"/>
    <n v="0"/>
    <n v="4.5634600000000001"/>
    <n v="65.506799999999998"/>
    <n v="5.5704099999999999"/>
    <n v="5.0689599999999997"/>
    <n v="89.471000000000004"/>
    <n v="5.2221500000000001"/>
    <n v="1.87914"/>
    <n v="20.606300000000001"/>
    <n v="202.27099999999999"/>
    <n v="11.932700000000001"/>
    <n v="1.3647199999999999"/>
    <n v="49.040799999999997"/>
    <n v="9.2643199999999997"/>
    <n v="0"/>
    <n v="5.1142300000000001"/>
    <n v="42.206000000000003"/>
    <n v="13.8909"/>
  </r>
  <r>
    <n v="6"/>
    <x v="5"/>
    <n v="11"/>
    <x v="5"/>
    <x v="5"/>
    <n v="139.96199999999999"/>
    <n v="1.0705"/>
    <n v="1.3896200000000001"/>
    <n v="153.74199999999999"/>
    <n v="1.83836"/>
    <n v="0.52249599999999996"/>
    <n v="15.0067"/>
    <n v="4.5804499999999999"/>
    <n v="1.87001"/>
    <n v="1.8241499999999999"/>
    <n v="919.23599999999999"/>
    <n v="4103.04"/>
    <n v="33.987200000000001"/>
    <n v="9.3536599999999996"/>
    <n v="395.416"/>
    <n v="170.89500000000001"/>
    <n v="93.302700000000002"/>
    <n v="18220.7"/>
    <n v="42869.7"/>
    <n v="5.3959000000000001"/>
    <n v="0"/>
    <n v="1610.85"/>
    <n v="0.41938700000000001"/>
    <n v="1.9323999999999999"/>
    <n v="5.5383300000000002"/>
    <n v="49.368600000000001"/>
    <n v="25.651900000000001"/>
    <n v="149.78700000000001"/>
    <n v="1.90724"/>
    <n v="11.83"/>
    <n v="0.53430800000000001"/>
    <n v="145.72200000000001"/>
    <n v="0"/>
    <n v="65.444199999999995"/>
    <n v="5.5668100000000003"/>
    <n v="5.0582200000000004"/>
    <n v="89.217200000000005"/>
    <n v="5.2110700000000003"/>
    <n v="1.87001"/>
    <n v="20.077300000000001"/>
    <n v="201.84200000000001"/>
    <n v="11.943899999999999"/>
    <n v="1.3664099999999999"/>
    <n v="48.795000000000002"/>
    <n v="9.2374500000000008"/>
    <n v="3.0706799999999999"/>
    <n v="5.10337"/>
    <n v="0"/>
    <n v="13.8614"/>
  </r>
  <r>
    <n v="7"/>
    <x v="6"/>
    <n v="12"/>
    <x v="6"/>
    <x v="6"/>
    <n v="143.369"/>
    <n v="1.05762"/>
    <n v="1.39194"/>
    <n v="153.869"/>
    <n v="1.83439"/>
    <n v="0.52336800000000006"/>
    <n v="14.951000000000001"/>
    <n v="4.5968799999999996"/>
    <n v="1.8791100000000001"/>
    <n v="1.8117399999999999"/>
    <n v="915.66700000000003"/>
    <n v="4078.1"/>
    <n v="0"/>
    <n v="9.3337599999999998"/>
    <n v="392.45699999999999"/>
    <n v="170.47"/>
    <n v="93.464100000000002"/>
    <n v="18305.3"/>
    <n v="42939.8"/>
    <n v="5.3923500000000004"/>
    <n v="0"/>
    <n v="1597.66"/>
    <n v="0.42036400000000002"/>
    <n v="1.9323999999999999"/>
    <n v="0"/>
    <n v="49.450800000000001"/>
    <n v="25.473199999999999"/>
    <n v="149.59100000000001"/>
    <n v="1.9207099999999999"/>
    <n v="11.7332"/>
    <n v="0.53520000000000001"/>
    <n v="145.91900000000001"/>
    <n v="0"/>
    <n v="65.647800000000004"/>
    <n v="5.54087"/>
    <n v="5.0666500000000001"/>
    <n v="0"/>
    <n v="5.2197500000000003"/>
    <n v="1.8791100000000001"/>
    <n v="19.9238"/>
    <n v="202.179"/>
    <n v="11.8614"/>
    <n v="1.3667400000000001"/>
    <n v="48.918199999999999"/>
    <n v="9.2861700000000003"/>
    <n v="3.0790099999999998"/>
    <n v="5.1118699999999997"/>
    <n v="0"/>
    <n v="13.884499999999999"/>
  </r>
  <r>
    <n v="8"/>
    <x v="7"/>
    <n v="13"/>
    <x v="4"/>
    <x v="7"/>
    <n v="145.178"/>
    <n v="1.0468"/>
    <n v="1.3919299999999999"/>
    <n v="153.85499999999999"/>
    <n v="1.83101"/>
    <n v="0.523366"/>
    <n v="14.950900000000001"/>
    <n v="4.5577399999999999"/>
    <n v="1.8760399999999999"/>
    <n v="1.80464"/>
    <n v="915.64200000000005"/>
    <n v="4053.18"/>
    <n v="33.984000000000002"/>
    <n v="9.3506"/>
    <n v="394.904"/>
    <n v="170.13499999999999"/>
    <n v="93.544499999999999"/>
    <n v="18227.3"/>
    <n v="42962"/>
    <n v="5.3881600000000001"/>
    <n v="470.96100000000001"/>
    <n v="1599.74"/>
    <n v="0"/>
    <n v="1.9323999999999999"/>
    <n v="5.5489300000000004"/>
    <n v="49.460599999999999"/>
    <n v="25.602799999999998"/>
    <n v="149.535"/>
    <n v="1.9161999999999999"/>
    <n v="11.709899999999999"/>
    <n v="0.53519700000000003"/>
    <n v="145.952"/>
    <n v="4.5627500000000003"/>
    <n v="65.969200000000001"/>
    <n v="5.54115"/>
    <n v="5.06663"/>
    <n v="88.879400000000004"/>
    <n v="5.2197199999999997"/>
    <n v="1.8760399999999999"/>
    <n v="19.927299999999999"/>
    <n v="202.17500000000001"/>
    <n v="11.923400000000001"/>
    <n v="1.37063"/>
    <n v="48.995800000000003"/>
    <n v="9.2900500000000008"/>
    <n v="3.0688399999999998"/>
    <n v="5.1118699999999997"/>
    <n v="42.164400000000001"/>
    <n v="13.884499999999999"/>
  </r>
  <r>
    <n v="9"/>
    <x v="8"/>
    <n v="14"/>
    <x v="7"/>
    <x v="8"/>
    <n v="144.89500000000001"/>
    <n v="1.05236"/>
    <n v="1.3912199999999999"/>
    <n v="153.76300000000001"/>
    <n v="1.8279099999999999"/>
    <n v="0.52309700000000003"/>
    <n v="14.911199999999999"/>
    <n v="4.5757199999999996"/>
    <n v="1.8741099999999999"/>
    <n v="1.7967599999999999"/>
    <n v="915.70100000000002"/>
    <n v="4085.35"/>
    <n v="33.716200000000001"/>
    <n v="9.2745499999999996"/>
    <n v="392.82400000000001"/>
    <n v="169.88200000000001"/>
    <n v="93.091700000000003"/>
    <n v="18208.3"/>
    <n v="42938.5"/>
    <n v="5.3589700000000002"/>
    <n v="471.55399999999997"/>
    <n v="1593.92"/>
    <n v="0.41959200000000002"/>
    <n v="1.9323999999999999"/>
    <n v="5.5085199999999999"/>
    <n v="49.427399999999999"/>
    <n v="25.4678"/>
    <n v="149.44499999999999"/>
    <n v="1.9099600000000001"/>
    <n v="11.6274"/>
    <n v="0.53492200000000001"/>
    <n v="0"/>
    <n v="0"/>
    <n v="65.732399999999998"/>
    <n v="5.5205000000000002"/>
    <n v="5.0640299999999998"/>
    <n v="88.450199999999995"/>
    <n v="5.2170800000000002"/>
    <n v="1.8741099999999999"/>
    <n v="19.851900000000001"/>
    <n v="202.07400000000001"/>
    <n v="11.809799999999999"/>
    <n v="1.3632599999999999"/>
    <n v="48.887300000000003"/>
    <n v="9.2998999999999992"/>
    <n v="0"/>
    <n v="5.1092599999999999"/>
    <n v="0"/>
    <n v="13.8774"/>
  </r>
  <r>
    <n v="10"/>
    <x v="9"/>
    <n v="15"/>
    <x v="8"/>
    <x v="9"/>
    <n v="147.268"/>
    <n v="1.0424199999999999"/>
    <n v="1.39392"/>
    <n v="0"/>
    <n v="1.82786"/>
    <n v="0.524115"/>
    <n v="14.972300000000001"/>
    <n v="4.5030599999999996"/>
    <n v="1.87246"/>
    <n v="1.8086199999999999"/>
    <n v="907.33399999999995"/>
    <n v="4074.53"/>
    <n v="33.85"/>
    <n v="9.3164499999999997"/>
    <n v="393.81099999999998"/>
    <n v="168.874"/>
    <n v="0"/>
    <n v="18240.900000000001"/>
    <n v="0"/>
    <n v="5.3582200000000002"/>
    <n v="471.87200000000001"/>
    <n v="1591.58"/>
    <n v="0.42040699999999998"/>
    <n v="1.9323999999999999"/>
    <n v="5.5178500000000001"/>
    <n v="0"/>
    <n v="25.776399999999999"/>
    <n v="149.19200000000001"/>
    <n v="1.9492700000000001"/>
    <n v="11.6723"/>
    <n v="0.53596299999999997"/>
    <n v="146.154"/>
    <n v="4.5664800000000003"/>
    <n v="65.652600000000007"/>
    <n v="5.5196500000000004"/>
    <n v="5.0738799999999999"/>
    <n v="88.053700000000006"/>
    <n v="5.2271999999999998"/>
    <n v="1.87246"/>
    <n v="20.004000000000001"/>
    <n v="202.46700000000001"/>
    <n v="11.8409"/>
    <n v="1.3645099999999999"/>
    <n v="48.7607"/>
    <n v="9.3143700000000003"/>
    <n v="0"/>
    <n v="5.1191700000000004"/>
    <n v="42.026699999999998"/>
    <n v="13.904400000000001"/>
  </r>
  <r>
    <n v="11"/>
    <x v="10"/>
    <n v="18"/>
    <x v="9"/>
    <x v="10"/>
    <n v="0"/>
    <n v="1.04952"/>
    <n v="1.38883"/>
    <n v="153.648"/>
    <n v="1.82741"/>
    <n v="0.52220100000000003"/>
    <n v="0"/>
    <n v="4.5345300000000002"/>
    <n v="1.8734"/>
    <n v="1.8032600000000001"/>
    <n v="903.54600000000005"/>
    <n v="4060.19"/>
    <n v="33.9514"/>
    <n v="9.3468400000000003"/>
    <n v="396.12299999999999"/>
    <n v="169.47900000000001"/>
    <n v="93.192300000000003"/>
    <n v="18210.400000000001"/>
    <n v="42891.199999999997"/>
    <n v="5.3609"/>
    <n v="470.64800000000002"/>
    <n v="1573.13"/>
    <n v="0.41977500000000001"/>
    <n v="1.9323999999999999"/>
    <n v="5.5254700000000003"/>
    <n v="49.261099999999999"/>
    <n v="25.676600000000001"/>
    <n v="149.036"/>
    <n v="1.95886"/>
    <n v="11.7644"/>
    <n v="0.53400499999999995"/>
    <n v="145.626"/>
    <n v="4.5484299999999998"/>
    <n v="65.104200000000006"/>
    <n v="5.5349199999999996"/>
    <n v="5.0553600000000003"/>
    <n v="87.656199999999998"/>
    <n v="5.2081200000000001"/>
    <n v="1.8734"/>
    <n v="19.855599999999999"/>
    <n v="201.72800000000001"/>
    <n v="0"/>
    <n v="1.3664700000000001"/>
    <n v="0"/>
    <n v="9.2851400000000002"/>
    <n v="3.0682200000000002"/>
    <n v="5.1004800000000001"/>
    <n v="0"/>
    <n v="13.8536"/>
  </r>
  <r>
    <n v="12"/>
    <x v="11"/>
    <n v="3"/>
    <x v="10"/>
    <x v="11"/>
    <n v="223.12"/>
    <n v="42.23"/>
    <n v="2.31"/>
    <m/>
    <n v="3.23"/>
    <m/>
    <m/>
    <m/>
    <m/>
    <m/>
    <m/>
    <m/>
    <m/>
    <m/>
    <m/>
    <m/>
    <n v="1.56"/>
    <m/>
    <m/>
    <m/>
    <m/>
    <m/>
    <m/>
    <m/>
    <m/>
    <m/>
    <m/>
    <m/>
    <m/>
    <m/>
    <m/>
    <m/>
    <m/>
    <m/>
    <m/>
    <m/>
    <m/>
    <m/>
    <m/>
    <m/>
    <m/>
    <m/>
    <m/>
    <m/>
    <m/>
    <m/>
    <m/>
    <m/>
    <m/>
  </r>
  <r>
    <n v="13"/>
    <x v="12"/>
    <n v="4"/>
    <x v="11"/>
    <x v="12"/>
    <n v="4.34"/>
    <n v="2.54"/>
    <n v="323.22000000000003"/>
    <m/>
    <n v="2.3199999999999998"/>
    <m/>
    <m/>
    <m/>
    <m/>
    <m/>
    <m/>
    <m/>
    <m/>
    <m/>
    <m/>
    <m/>
    <n v="11.23"/>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2DF44F-CDC7-47EF-AC8F-43D633E287F7}" name="PivotTable15" cacheId="97" dataOnRows="1"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showHeaders="0" outline="1" outlineData="1" multipleFieldFilters="0" chartFormat="3">
  <location ref="A2:C9" firstHeaderRow="0" firstDataRow="1" firstDataCol="1"/>
  <pivotFields count="58">
    <pivotField showAll="0" defaultSubtotal="0"/>
    <pivotField numFmtId="15" showAll="0" defaultSubtotal="0">
      <items count="13">
        <item x="11"/>
        <item x="0"/>
        <item x="1"/>
        <item x="2"/>
        <item x="3"/>
        <item x="4"/>
        <item x="5"/>
        <item x="6"/>
        <item x="7"/>
        <item x="8"/>
        <item x="9"/>
        <item x="10"/>
        <item x="12"/>
      </items>
    </pivotField>
    <pivotField showAll="0" defaultSubtotal="0"/>
    <pivotField dataField="1" showAll="0" defaultSubtotal="0"/>
    <pivotField dataField="1" showAll="0" defaultSubtotal="0">
      <items count="13">
        <item x="12"/>
        <item x="11"/>
        <item x="8"/>
        <item x="9"/>
        <item x="1"/>
        <item x="0"/>
        <item x="2"/>
        <item x="6"/>
        <item x="10"/>
        <item x="7"/>
        <item x="3"/>
        <item x="5"/>
        <item x="4"/>
      </items>
    </pivotField>
    <pivotField dataField="1" showAll="0" defaultSubtotal="0"/>
    <pivotField dataField="1"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 dragToRow="0" dragToCol="0" dragToPage="0" showAll="0" defaultSubtotal="0"/>
  </pivotFields>
  <rowFields count="1">
    <field x="-2"/>
  </rowFields>
  <rowItems count="7">
    <i>
      <x/>
    </i>
    <i i="1">
      <x v="1"/>
    </i>
    <i i="2">
      <x v="2"/>
    </i>
    <i i="3">
      <x v="3"/>
    </i>
    <i i="4">
      <x v="4"/>
    </i>
    <i i="5">
      <x v="5"/>
    </i>
    <i i="6">
      <x v="6"/>
    </i>
  </rowItems>
  <colFields count="1">
    <field x="54"/>
  </colFields>
  <colItems count="2">
    <i>
      <x v="2"/>
    </i>
    <i>
      <x v="7"/>
    </i>
  </colItems>
  <dataFields count="7">
    <dataField name="Max of Euro" fld="4" subtotal="max" baseField="0" baseItem="1"/>
    <dataField name="Max of Chinese Yuan" fld="3" subtotal="max" baseField="0" baseItem="1"/>
    <dataField name="Max of Japanese Yen" fld="5" subtotal="max" baseField="0" baseItem="1"/>
    <dataField name="Max of U.K. Pound Sterling" fld="6" subtotal="max" baseField="0" baseItem="1"/>
    <dataField name="Max of U.S. Dollar" fld="7" subtotal="max" baseField="0" baseItem="1"/>
    <dataField name="Max of Indian Rupee" fld="21" subtotal="max" baseField="0" baseItem="1"/>
    <dataField name="Max of Australian Dollar" fld="9" subtotal="max" baseField="0" baseItem="1"/>
  </dataFields>
  <chartFormats count="3">
    <chartFormat chart="2" format="4" series="1">
      <pivotArea type="data" outline="0" fieldPosition="0">
        <references count="2">
          <reference field="4294967294" count="1" selected="0">
            <x v="0"/>
          </reference>
          <reference field="54" count="1" selected="0">
            <x v="2"/>
          </reference>
        </references>
      </pivotArea>
    </chartFormat>
    <chartFormat chart="2" format="5" series="1">
      <pivotArea type="data" outline="0" fieldPosition="0">
        <references count="2">
          <reference field="4294967294" count="1" selected="0">
            <x v="0"/>
          </reference>
          <reference field="54" count="1" selected="0">
            <x v="7"/>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CEFBDA-2D95-4ABE-8E61-FFBD2D450A33}" name="PivotTable14" cacheId="97"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A3:C94" firstHeaderRow="1" firstDataRow="1" firstDataCol="2"/>
  <pivotFields count="58">
    <pivotField compact="0" outline="0" showAll="0" defaultSubtotal="0"/>
    <pivotField axis="axisRow" compact="0" numFmtId="15" outline="0" showAll="0" defaultSubtotal="0">
      <items count="13">
        <item x="11"/>
        <item x="0"/>
        <item x="1"/>
        <item x="2"/>
        <item x="3"/>
        <item x="4"/>
        <item x="5"/>
        <item x="6"/>
        <item x="7"/>
        <item x="8"/>
        <item x="9"/>
        <item x="10"/>
        <item x="12"/>
      </items>
    </pivotField>
    <pivotField compact="0" outline="0" showAll="0" defaultSubtotal="0"/>
    <pivotField dataField="1" compact="0" outline="0" showAll="0" defaultSubtotal="0">
      <items count="12">
        <item x="10"/>
        <item x="11"/>
        <item x="5"/>
        <item x="0"/>
        <item x="9"/>
        <item x="7"/>
        <item x="6"/>
        <item x="3"/>
        <item x="4"/>
        <item x="1"/>
        <item x="8"/>
        <item x="2"/>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x="1"/>
        <item sd="0" x="2"/>
        <item sd="0" x="3"/>
        <item sd="0" x="4"/>
        <item sd="0" x="5"/>
      </items>
    </pivotField>
    <pivotField compact="0" outline="0" showAll="0" defaultSubtotal="0">
      <items count="4">
        <item sd="0" x="0"/>
        <item x="1"/>
        <item x="2"/>
        <item sd="0" x="3"/>
      </items>
    </pivotField>
    <pivotField compact="0" outline="0" subtotalTop="0" dragToRow="0" dragToCol="0" dragToPage="0" showAll="0" defaultSubtotal="0"/>
  </pivotFields>
  <rowFields count="2">
    <field x="1"/>
    <field x="-2"/>
  </rowFields>
  <rowItems count="91">
    <i>
      <x/>
      <x/>
    </i>
    <i r="1" i="1">
      <x v="1"/>
    </i>
    <i r="1" i="2">
      <x v="2"/>
    </i>
    <i r="1" i="3">
      <x v="3"/>
    </i>
    <i r="1" i="4">
      <x v="4"/>
    </i>
    <i r="1" i="5">
      <x v="5"/>
    </i>
    <i r="1" i="6">
      <x v="6"/>
    </i>
    <i>
      <x v="1"/>
      <x/>
    </i>
    <i r="1" i="1">
      <x v="1"/>
    </i>
    <i r="1" i="2">
      <x v="2"/>
    </i>
    <i r="1" i="3">
      <x v="3"/>
    </i>
    <i r="1" i="4">
      <x v="4"/>
    </i>
    <i r="1" i="5">
      <x v="5"/>
    </i>
    <i r="1" i="6">
      <x v="6"/>
    </i>
    <i>
      <x v="2"/>
      <x/>
    </i>
    <i r="1" i="1">
      <x v="1"/>
    </i>
    <i r="1" i="2">
      <x v="2"/>
    </i>
    <i r="1" i="3">
      <x v="3"/>
    </i>
    <i r="1" i="4">
      <x v="4"/>
    </i>
    <i r="1" i="5">
      <x v="5"/>
    </i>
    <i r="1" i="6">
      <x v="6"/>
    </i>
    <i>
      <x v="3"/>
      <x/>
    </i>
    <i r="1" i="1">
      <x v="1"/>
    </i>
    <i r="1" i="2">
      <x v="2"/>
    </i>
    <i r="1" i="3">
      <x v="3"/>
    </i>
    <i r="1" i="4">
      <x v="4"/>
    </i>
    <i r="1" i="5">
      <x v="5"/>
    </i>
    <i r="1" i="6">
      <x v="6"/>
    </i>
    <i>
      <x v="4"/>
      <x/>
    </i>
    <i r="1" i="1">
      <x v="1"/>
    </i>
    <i r="1" i="2">
      <x v="2"/>
    </i>
    <i r="1" i="3">
      <x v="3"/>
    </i>
    <i r="1" i="4">
      <x v="4"/>
    </i>
    <i r="1" i="5">
      <x v="5"/>
    </i>
    <i r="1" i="6">
      <x v="6"/>
    </i>
    <i>
      <x v="5"/>
      <x/>
    </i>
    <i r="1" i="1">
      <x v="1"/>
    </i>
    <i r="1" i="2">
      <x v="2"/>
    </i>
    <i r="1" i="3">
      <x v="3"/>
    </i>
    <i r="1" i="4">
      <x v="4"/>
    </i>
    <i r="1" i="5">
      <x v="5"/>
    </i>
    <i r="1" i="6">
      <x v="6"/>
    </i>
    <i>
      <x v="6"/>
      <x/>
    </i>
    <i r="1" i="1">
      <x v="1"/>
    </i>
    <i r="1" i="2">
      <x v="2"/>
    </i>
    <i r="1" i="3">
      <x v="3"/>
    </i>
    <i r="1" i="4">
      <x v="4"/>
    </i>
    <i r="1" i="5">
      <x v="5"/>
    </i>
    <i r="1" i="6">
      <x v="6"/>
    </i>
    <i>
      <x v="7"/>
      <x/>
    </i>
    <i r="1" i="1">
      <x v="1"/>
    </i>
    <i r="1" i="2">
      <x v="2"/>
    </i>
    <i r="1" i="3">
      <x v="3"/>
    </i>
    <i r="1" i="4">
      <x v="4"/>
    </i>
    <i r="1" i="5">
      <x v="5"/>
    </i>
    <i r="1" i="6">
      <x v="6"/>
    </i>
    <i>
      <x v="8"/>
      <x/>
    </i>
    <i r="1" i="1">
      <x v="1"/>
    </i>
    <i r="1" i="2">
      <x v="2"/>
    </i>
    <i r="1" i="3">
      <x v="3"/>
    </i>
    <i r="1" i="4">
      <x v="4"/>
    </i>
    <i r="1" i="5">
      <x v="5"/>
    </i>
    <i r="1" i="6">
      <x v="6"/>
    </i>
    <i>
      <x v="9"/>
      <x/>
    </i>
    <i r="1" i="1">
      <x v="1"/>
    </i>
    <i r="1" i="2">
      <x v="2"/>
    </i>
    <i r="1" i="3">
      <x v="3"/>
    </i>
    <i r="1" i="4">
      <x v="4"/>
    </i>
    <i r="1" i="5">
      <x v="5"/>
    </i>
    <i r="1" i="6">
      <x v="6"/>
    </i>
    <i>
      <x v="10"/>
      <x/>
    </i>
    <i r="1" i="1">
      <x v="1"/>
    </i>
    <i r="1" i="2">
      <x v="2"/>
    </i>
    <i r="1" i="3">
      <x v="3"/>
    </i>
    <i r="1" i="4">
      <x v="4"/>
    </i>
    <i r="1" i="5">
      <x v="5"/>
    </i>
    <i r="1" i="6">
      <x v="6"/>
    </i>
    <i>
      <x v="11"/>
      <x/>
    </i>
    <i r="1" i="1">
      <x v="1"/>
    </i>
    <i r="1" i="2">
      <x v="2"/>
    </i>
    <i r="1" i="3">
      <x v="3"/>
    </i>
    <i r="1" i="4">
      <x v="4"/>
    </i>
    <i r="1" i="5">
      <x v="5"/>
    </i>
    <i r="1" i="6">
      <x v="6"/>
    </i>
    <i>
      <x v="12"/>
      <x/>
    </i>
    <i r="1" i="1">
      <x v="1"/>
    </i>
    <i r="1" i="2">
      <x v="2"/>
    </i>
    <i r="1" i="3">
      <x v="3"/>
    </i>
    <i r="1" i="4">
      <x v="4"/>
    </i>
    <i r="1" i="5">
      <x v="5"/>
    </i>
    <i r="1" i="6">
      <x v="6"/>
    </i>
  </rowItems>
  <colItems count="1">
    <i/>
  </colItems>
  <dataFields count="7">
    <dataField name="Average of Chinese Yuan" fld="3" subtotal="average" baseField="1" baseItem="0"/>
    <dataField name="Average of Indian Rupee" fld="21" subtotal="average" baseField="1" baseItem="0"/>
    <dataField name="Average of Australian Dollar" fld="9" subtotal="average" baseField="1" baseItem="0"/>
    <dataField name="Average of U.S. Dollar" fld="7" subtotal="average" baseField="1" baseItem="0"/>
    <dataField name="Average of U.K. Pound Sterling" fld="6" subtotal="average" baseField="1" baseItem="0"/>
    <dataField name="Average of Japanese Yen" fld="5" subtotal="average" baseField="1" baseItem="0"/>
    <dataField name="Average of Euro" fld="4" subtotal="average" baseField="1" baseItem="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outline="0" fieldPosition="0">
        <references count="1">
          <reference field="1" count="0"/>
        </references>
      </pivotArea>
    </format>
    <format dxfId="0">
      <pivotArea dataOnly="0" labelOnly="1" outline="0" fieldPosition="0">
        <references count="1">
          <reference field="4294967294" count="7">
            <x v="0"/>
            <x v="1"/>
            <x v="2"/>
            <x v="3"/>
            <x v="4"/>
            <x v="5"/>
            <x v="6"/>
          </reference>
        </references>
      </pivotArea>
    </format>
  </formats>
  <conditionalFormats count="1">
    <conditionalFormat priority="1">
      <pivotAreas count="1">
        <pivotArea type="data" outline="0" collapsedLevelsAreSubtotals="1" fieldPosition="0"/>
      </pivotAreas>
    </conditionalFormat>
  </conditionalFormats>
  <chartFormats count="20">
    <chartFormat chart="2" format="26" series="1">
      <pivotArea type="data" outline="0" fieldPosition="0">
        <references count="2">
          <reference field="4294967294" count="1" selected="0">
            <x v="0"/>
          </reference>
          <reference field="1" count="1" selected="0">
            <x v="0"/>
          </reference>
        </references>
      </pivotArea>
    </chartFormat>
    <chartFormat chart="2" format="27" series="1">
      <pivotArea type="data" outline="0" fieldPosition="0">
        <references count="2">
          <reference field="4294967294" count="1" selected="0">
            <x v="0"/>
          </reference>
          <reference field="1" count="1" selected="0">
            <x v="1"/>
          </reference>
        </references>
      </pivotArea>
    </chartFormat>
    <chartFormat chart="2" format="28" series="1">
      <pivotArea type="data" outline="0" fieldPosition="0">
        <references count="2">
          <reference field="4294967294" count="1" selected="0">
            <x v="0"/>
          </reference>
          <reference field="1" count="1" selected="0">
            <x v="2"/>
          </reference>
        </references>
      </pivotArea>
    </chartFormat>
    <chartFormat chart="2" format="29" series="1">
      <pivotArea type="data" outline="0" fieldPosition="0">
        <references count="2">
          <reference field="4294967294" count="1" selected="0">
            <x v="0"/>
          </reference>
          <reference field="1" count="1" selected="0">
            <x v="3"/>
          </reference>
        </references>
      </pivotArea>
    </chartFormat>
    <chartFormat chart="2" format="30" series="1">
      <pivotArea type="data" outline="0" fieldPosition="0">
        <references count="2">
          <reference field="4294967294" count="1" selected="0">
            <x v="0"/>
          </reference>
          <reference field="1" count="1" selected="0">
            <x v="4"/>
          </reference>
        </references>
      </pivotArea>
    </chartFormat>
    <chartFormat chart="2" format="31" series="1">
      <pivotArea type="data" outline="0" fieldPosition="0">
        <references count="2">
          <reference field="4294967294" count="1" selected="0">
            <x v="0"/>
          </reference>
          <reference field="1" count="1" selected="0">
            <x v="5"/>
          </reference>
        </references>
      </pivotArea>
    </chartFormat>
    <chartFormat chart="2" format="32" series="1">
      <pivotArea type="data" outline="0" fieldPosition="0">
        <references count="2">
          <reference field="4294967294" count="1" selected="0">
            <x v="0"/>
          </reference>
          <reference field="1" count="1" selected="0">
            <x v="6"/>
          </reference>
        </references>
      </pivotArea>
    </chartFormat>
    <chartFormat chart="2" format="33" series="1">
      <pivotArea type="data" outline="0" fieldPosition="0">
        <references count="2">
          <reference field="4294967294" count="1" selected="0">
            <x v="0"/>
          </reference>
          <reference field="1" count="1" selected="0">
            <x v="7"/>
          </reference>
        </references>
      </pivotArea>
    </chartFormat>
    <chartFormat chart="2" format="34" series="1">
      <pivotArea type="data" outline="0" fieldPosition="0">
        <references count="2">
          <reference field="4294967294" count="1" selected="0">
            <x v="0"/>
          </reference>
          <reference field="1" count="1" selected="0">
            <x v="8"/>
          </reference>
        </references>
      </pivotArea>
    </chartFormat>
    <chartFormat chart="2" format="35" series="1">
      <pivotArea type="data" outline="0" fieldPosition="0">
        <references count="2">
          <reference field="4294967294" count="1" selected="0">
            <x v="0"/>
          </reference>
          <reference field="1" count="1" selected="0">
            <x v="9"/>
          </reference>
        </references>
      </pivotArea>
    </chartFormat>
    <chartFormat chart="2" format="36" series="1">
      <pivotArea type="data" outline="0" fieldPosition="0">
        <references count="2">
          <reference field="4294967294" count="1" selected="0">
            <x v="0"/>
          </reference>
          <reference field="1" count="1" selected="0">
            <x v="10"/>
          </reference>
        </references>
      </pivotArea>
    </chartFormat>
    <chartFormat chart="2" format="37" series="1">
      <pivotArea type="data" outline="0" fieldPosition="0">
        <references count="2">
          <reference field="4294967294" count="1" selected="0">
            <x v="0"/>
          </reference>
          <reference field="1" count="1" selected="0">
            <x v="11"/>
          </reference>
        </references>
      </pivotArea>
    </chartFormat>
    <chartFormat chart="2" format="38" series="1">
      <pivotArea type="data" outline="0" fieldPosition="0">
        <references count="2">
          <reference field="4294967294" count="1" selected="0">
            <x v="0"/>
          </reference>
          <reference field="1" count="1" selected="0">
            <x v="12"/>
          </reference>
        </references>
      </pivotArea>
    </chartFormat>
    <chartFormat chart="2" format="39" series="1">
      <pivotArea type="data" outline="0" fieldPosition="0">
        <references count="1">
          <reference field="4294967294" count="1" selected="0">
            <x v="0"/>
          </reference>
        </references>
      </pivotArea>
    </chartFormat>
    <chartFormat chart="2" format="40" series="1">
      <pivotArea type="data" outline="0" fieldPosition="0">
        <references count="1">
          <reference field="4294967294" count="1" selected="0">
            <x v="1"/>
          </reference>
        </references>
      </pivotArea>
    </chartFormat>
    <chartFormat chart="2" format="41" series="1">
      <pivotArea type="data" outline="0" fieldPosition="0">
        <references count="1">
          <reference field="4294967294" count="1" selected="0">
            <x v="2"/>
          </reference>
        </references>
      </pivotArea>
    </chartFormat>
    <chartFormat chart="2" format="42" series="1">
      <pivotArea type="data" outline="0" fieldPosition="0">
        <references count="1">
          <reference field="4294967294" count="1" selected="0">
            <x v="3"/>
          </reference>
        </references>
      </pivotArea>
    </chartFormat>
    <chartFormat chart="2" format="43" series="1">
      <pivotArea type="data" outline="0" fieldPosition="0">
        <references count="1">
          <reference field="4294967294" count="1" selected="0">
            <x v="4"/>
          </reference>
        </references>
      </pivotArea>
    </chartFormat>
    <chartFormat chart="2" format="44" series="1">
      <pivotArea type="data" outline="0" fieldPosition="0">
        <references count="1">
          <reference field="4294967294" count="1" selected="0">
            <x v="5"/>
          </reference>
        </references>
      </pivotArea>
    </chartFormat>
    <chartFormat chart="2" format="45" series="1">
      <pivotArea type="data" outline="0" fieldPosition="0">
        <references count="1">
          <reference field="429496729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625043B-9D24-4344-90A0-E257E16EBE06}" name="PivotTable15" cacheId="97" dataOnRows="1"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showHeaders="0" outline="1" outlineData="1" multipleFieldFilters="0" chartFormat="6">
  <location ref="A2:C9" firstHeaderRow="0" firstDataRow="1" firstDataCol="1"/>
  <pivotFields count="58">
    <pivotField showAll="0" defaultSubtotal="0"/>
    <pivotField numFmtId="15" showAll="0" defaultSubtotal="0">
      <items count="13">
        <item x="11"/>
        <item x="0"/>
        <item x="1"/>
        <item x="2"/>
        <item x="3"/>
        <item x="4"/>
        <item x="5"/>
        <item x="6"/>
        <item x="7"/>
        <item x="8"/>
        <item x="9"/>
        <item x="10"/>
        <item x="12"/>
      </items>
    </pivotField>
    <pivotField showAll="0" defaultSubtotal="0"/>
    <pivotField dataField="1" showAll="0" defaultSubtotal="0"/>
    <pivotField dataField="1" showAll="0" defaultSubtotal="0">
      <items count="13">
        <item x="12"/>
        <item x="11"/>
        <item x="8"/>
        <item x="9"/>
        <item x="1"/>
        <item x="0"/>
        <item x="2"/>
        <item x="6"/>
        <item x="10"/>
        <item x="7"/>
        <item x="3"/>
        <item x="5"/>
        <item x="4"/>
      </items>
    </pivotField>
    <pivotField dataField="1" showAll="0" defaultSubtotal="0"/>
    <pivotField dataField="1"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4">
        <item sd="0" x="0"/>
        <item sd="0" x="1"/>
        <item sd="0" x="2"/>
        <item sd="0" x="3"/>
      </items>
    </pivotField>
    <pivotField dragToRow="0" dragToCol="0" dragToPage="0" showAll="0" defaultSubtotal="0"/>
  </pivotFields>
  <rowFields count="1">
    <field x="-2"/>
  </rowFields>
  <rowItems count="7">
    <i>
      <x/>
    </i>
    <i i="1">
      <x v="1"/>
    </i>
    <i i="2">
      <x v="2"/>
    </i>
    <i i="3">
      <x v="3"/>
    </i>
    <i i="4">
      <x v="4"/>
    </i>
    <i i="5">
      <x v="5"/>
    </i>
    <i i="6">
      <x v="6"/>
    </i>
  </rowItems>
  <colFields count="1">
    <field x="54"/>
  </colFields>
  <colItems count="2">
    <i>
      <x v="2"/>
    </i>
    <i>
      <x v="7"/>
    </i>
  </colItems>
  <dataFields count="7">
    <dataField name="Min of Euro" fld="4" subtotal="min" baseField="54" baseItem="7"/>
    <dataField name="Min of Chinese Yuan" fld="3" subtotal="min" baseField="54" baseItem="7"/>
    <dataField name="Min of Japanese Yen" fld="5" subtotal="min" baseField="54" baseItem="7"/>
    <dataField name="Min of U.K. Pound Sterling" fld="6" subtotal="min" baseField="54" baseItem="7"/>
    <dataField name="Min of U.S. Dollar" fld="7" subtotal="min" baseField="54" baseItem="7"/>
    <dataField name="Min of Indian Rupee" fld="21" subtotal="min" baseField="54" baseItem="7"/>
    <dataField name="Min of Australian Dollar" fld="9" subtotal="min" baseField="54" baseItem="7"/>
  </dataFields>
  <chartFormats count="14">
    <chartFormat chart="0" format="0" series="1">
      <pivotArea type="data" outline="0" fieldPosition="0">
        <references count="2">
          <reference field="4294967294" count="1" selected="0">
            <x v="0"/>
          </reference>
          <reference field="54" count="1" selected="0">
            <x v="2"/>
          </reference>
        </references>
      </pivotArea>
    </chartFormat>
    <chartFormat chart="0" format="1" series="1">
      <pivotArea type="data" outline="0" fieldPosition="0">
        <references count="2">
          <reference field="4294967294" count="1" selected="0">
            <x v="0"/>
          </reference>
          <reference field="54" count="1" selected="0">
            <x v="7"/>
          </reference>
        </references>
      </pivotArea>
    </chartFormat>
    <chartFormat chart="1" format="2" series="1">
      <pivotArea type="data" outline="0" fieldPosition="0">
        <references count="2">
          <reference field="4294967294" count="1" selected="0">
            <x v="0"/>
          </reference>
          <reference field="54" count="1" selected="0">
            <x v="2"/>
          </reference>
        </references>
      </pivotArea>
    </chartFormat>
    <chartFormat chart="1" format="3" series="1">
      <pivotArea type="data" outline="0" fieldPosition="0">
        <references count="2">
          <reference field="4294967294" count="1" selected="0">
            <x v="0"/>
          </reference>
          <reference field="54" count="1" selected="0">
            <x v="7"/>
          </reference>
        </references>
      </pivotArea>
    </chartFormat>
    <chartFormat chart="2" format="4" series="1">
      <pivotArea type="data" outline="0" fieldPosition="0">
        <references count="2">
          <reference field="4294967294" count="1" selected="0">
            <x v="0"/>
          </reference>
          <reference field="54" count="1" selected="0">
            <x v="2"/>
          </reference>
        </references>
      </pivotArea>
    </chartFormat>
    <chartFormat chart="2" format="5" series="1">
      <pivotArea type="data" outline="0" fieldPosition="0">
        <references count="2">
          <reference field="4294967294" count="1" selected="0">
            <x v="0"/>
          </reference>
          <reference field="54" count="1" selected="0">
            <x v="7"/>
          </reference>
        </references>
      </pivotArea>
    </chartFormat>
    <chartFormat chart="2" format="6"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2">
          <reference field="4294967294" count="1" selected="0">
            <x v="0"/>
          </reference>
          <reference field="54" count="1" selected="0">
            <x v="7"/>
          </reference>
        </references>
      </pivotArea>
    </chartFormat>
    <chartFormat chart="4" format="2" series="1">
      <pivotArea type="data" outline="0" fieldPosition="0">
        <references count="2">
          <reference field="4294967294" count="1" selected="0">
            <x v="0"/>
          </reference>
          <reference field="54" count="1" selected="0">
            <x v="7"/>
          </reference>
        </references>
      </pivotArea>
    </chartFormat>
    <chartFormat chart="5" format="4" series="1">
      <pivotArea type="data" outline="0" fieldPosition="0">
        <references count="2">
          <reference field="4294967294" count="1" selected="0">
            <x v="0"/>
          </reference>
          <reference field="5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E8B1941D-7F7E-4465-86FF-F6618714BF49}" sourceName="Date">
  <pivotTables>
    <pivotTable tabId="12" name="PivotTable14"/>
  </pivotTables>
  <data>
    <tabular pivotCacheId="1981839525">
      <items count="13">
        <i x="11" s="1"/>
        <i x="0" s="1"/>
        <i x="1" s="1"/>
        <i x="2" s="1"/>
        <i x="3" s="1"/>
        <i x="4" s="1"/>
        <i x="5" s="1"/>
        <i x="6" s="1"/>
        <i x="7" s="1"/>
        <i x="8" s="1"/>
        <i x="9" s="1"/>
        <i x="10" s="1"/>
        <i x="1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D3779E67-D180-4BCD-B55A-C57DDB0867CF}" cache="Slicer_Date" caption="Dat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A564DC3D-065A-4F7E-9125-2CBD400A018D}" cache="Slicer_Date" caption="Dat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9FAE43-ED07-4FDB-9AE7-F211CC226321}" name="Table2" displayName="Table2" ref="A1:BB14" totalsRowShown="0" headerRowDxfId="62" headerRowBorderDxfId="61" tableBorderDxfId="60" totalsRowBorderDxfId="59">
  <autoFilter ref="A1:BB14" xr:uid="{939FAE43-ED07-4FDB-9AE7-F211CC226321}"/>
  <tableColumns count="54">
    <tableColumn id="1" xr3:uid="{E9EFCC2C-CAC9-4528-B555-AA85369910F2}" name="ID" dataDxfId="58"/>
    <tableColumn id="2" xr3:uid="{9563DC8E-2335-4D54-8A8E-CE00A8E8D104}" name="Date" dataDxfId="57"/>
    <tableColumn id="3" xr3:uid="{2313BE14-51E3-4CF8-8AB0-259ECC1FE06E}" name="Day" dataDxfId="56"/>
    <tableColumn id="4" xr3:uid="{73FA873E-772C-4029-9CC2-29F523CB6D5E}" name="Chinese Yuan" dataDxfId="55"/>
    <tableColumn id="5" xr3:uid="{848C2253-AA51-47CA-9FC7-A196C274AB2F}" name="Euro" dataDxfId="54"/>
    <tableColumn id="6" xr3:uid="{232BECD8-E068-47EA-943A-A8EADA9906A5}" name="Japanese Yen" dataDxfId="53"/>
    <tableColumn id="7" xr3:uid="{6A4FD653-2E53-4BB3-87A8-F5CE8F1EE5C8}" name="U.K. Pound Sterling" dataDxfId="52"/>
    <tableColumn id="8" xr3:uid="{2684DDCC-0454-432C-A1F5-B9C1B6230597}" name="U.S. Dollar" dataDxfId="51"/>
    <tableColumn id="9" xr3:uid="{07DEF300-7B4C-4497-A86D-73910E7770E8}" name="Algerian Di0r" dataDxfId="50"/>
    <tableColumn id="10" xr3:uid="{01209C22-03D6-4B4F-8166-9EBC156947A2}" name="Australian Dollar" dataDxfId="49"/>
    <tableColumn id="11" xr3:uid="{9D2EC33F-6A46-4DD5-938D-C21D235A95A9}" name="Bahrain Di0r" dataDxfId="48"/>
    <tableColumn id="12" xr3:uid="{6D4DEC3E-A038-4077-A98B-68F55B986EDC}" name="Botswa0 Pula" dataDxfId="47"/>
    <tableColumn id="13" xr3:uid="{20ABB857-C380-401C-8F79-864EA94EB1F8}" name="Brazilian Real" dataDxfId="46"/>
    <tableColumn id="14" xr3:uid="{9DBF6E56-40D6-4804-AF27-B305EDFEBD63}" name="Brunei Dollar" dataDxfId="45"/>
    <tableColumn id="15" xr3:uid="{6B3750C9-52F0-4211-80B6-CF09EF03A0B8}" name="Ca0dian Dollar" dataDxfId="44"/>
    <tableColumn id="16" xr3:uid="{877A907E-168E-427B-A868-04BBC089D71A}" name="Chilean Peso" dataDxfId="43"/>
    <tableColumn id="17" xr3:uid="{AEF121EE-2CC8-4805-9A46-80C91108A99D}" name="Colombian Peso" dataDxfId="42"/>
    <tableColumn id="18" xr3:uid="{925DB6CD-04D8-4190-BB6A-FF506390E456}" name="Czech Koru0" dataDxfId="41"/>
    <tableColumn id="19" xr3:uid="{C6533E9F-C50E-4F66-9BC2-0DC9A3D77E3B}" name="Danish Krone" dataDxfId="40"/>
    <tableColumn id="20" xr3:uid="{E6F42817-D0FE-4932-8527-5E1125EBBE5F}" name="Hungarian Forint" dataDxfId="39"/>
    <tableColumn id="21" xr3:uid="{51DEF106-655B-49B6-BBE0-79376F2CD5BE}" name="Icelandic Kro0" dataDxfId="38"/>
    <tableColumn id="22" xr3:uid="{41FAFEB4-9183-4075-8F3E-C5D23D682B3C}" name="Indian Rupee" dataDxfId="37"/>
    <tableColumn id="23" xr3:uid="{E303E48D-6097-4D62-808D-45895DAADE33}" name="Indonesian Rupiah" dataDxfId="36"/>
    <tableColumn id="24" xr3:uid="{465223CA-C8A7-444A-AE37-7BE2CE2D4F78}" name="Iranian Rial" dataDxfId="35"/>
    <tableColumn id="25" xr3:uid="{EFD51CD0-B1DD-4BF5-A31B-84FF147C4CE6}" name="Israeli New Sheqel" dataDxfId="34"/>
    <tableColumn id="26" xr3:uid="{86332CFC-A98C-4D38-B78A-ACE9379565C9}" name="Kazakhstani Tenge" dataDxfId="33"/>
    <tableColumn id="27" xr3:uid="{20A185A5-F8FF-43B0-8FF4-19147489B8C6}" name="Korean Won" dataDxfId="32"/>
    <tableColumn id="28" xr3:uid="{46A308EF-B5EC-44FD-9FC9-F92557950486}" name="Kuwaiti Di0r" dataDxfId="31"/>
    <tableColumn id="29" xr3:uid="{2A320CC6-1A2D-42F6-A0C7-8B59CC0E78DD}" name="Libyan Di0r" dataDxfId="30"/>
    <tableColumn id="30" xr3:uid="{08486468-A13C-4F52-8D05-91BFC11BB188}" name="Malaysian Ringgit" dataDxfId="29"/>
    <tableColumn id="31" xr3:uid="{8A38A392-3A00-4F52-90BA-5B28A65392C5}" name="Mauritian Rupee" dataDxfId="28"/>
    <tableColumn id="32" xr3:uid="{F67D16E2-C32B-4F2D-856A-6DB8787DDDC1}" name="Mexican Peso" dataDxfId="27"/>
    <tableColumn id="33" xr3:uid="{007530AD-D28B-4B54-9824-BAA57F98F0CD}" name="Nepalese Rupee" dataDxfId="26"/>
    <tableColumn id="34" xr3:uid="{4BEF5A73-CB3E-4A18-89AA-9F31EB4A0DC8}" name="New Zealand Dollar" dataDxfId="25"/>
    <tableColumn id="35" xr3:uid="{0DED48CD-B459-47B6-8214-557401303A4A}" name="Norwegian Krone" dataDxfId="24"/>
    <tableColumn id="36" xr3:uid="{D7ED9979-4DC2-4638-B3B6-7B0DD4F30214}" name="Rial Omani" dataDxfId="23"/>
    <tableColumn id="37" xr3:uid="{644E7CE2-23F8-47F0-80C1-461009262D3A}" name="Pakistani Rupee" dataDxfId="22"/>
    <tableColumn id="38" xr3:uid="{A2E22725-D42D-46A4-BA69-BA744F3714E3}" name="Nuevo Sol" dataDxfId="21"/>
    <tableColumn id="39" xr3:uid="{01A82846-7839-4D29-844A-C10B67799A96}" name="Philippine Peso" dataDxfId="20"/>
    <tableColumn id="40" xr3:uid="{4EA443F6-B737-43C9-940D-07EC187CB3CC}" name="Polish Zloty" dataDxfId="19"/>
    <tableColumn id="41" xr3:uid="{6A4BEE6A-B772-4699-8288-F5110CDBF09D}" name="Qatar Riyal" dataDxfId="18"/>
    <tableColumn id="42" xr3:uid="{4BCA6DC8-586F-44F3-B464-47A5FDE4C1FF}" name="Russian Ruble" dataDxfId="17"/>
    <tableColumn id="43" xr3:uid="{8E1513D7-6716-4567-A0F8-52C95A0F9298}" name="Saudi Arabian Riyal" dataDxfId="16"/>
    <tableColumn id="44" xr3:uid="{8A580A0A-6B70-47ED-BDF3-13B126C52C37}" name="Singapore Dollar" dataDxfId="15"/>
    <tableColumn id="45" xr3:uid="{4C7F512A-6BE8-4057-8D8D-066200E4620F}" name="South African Rand" dataDxfId="14"/>
    <tableColumn id="46" xr3:uid="{A0CDD5C3-A6E6-4E65-9B0A-19F49CBD6B75}" name="Sri Lanka Rupee" dataDxfId="13"/>
    <tableColumn id="47" xr3:uid="{FBDF7E25-F412-4F5B-A743-F986E7678AC4}" name="Swedish Kro0" dataDxfId="12"/>
    <tableColumn id="48" xr3:uid="{D771FAF6-29E8-4A67-97AE-5E0FDC87BF48}" name="Swiss Franc" dataDxfId="11"/>
    <tableColumn id="49" xr3:uid="{9FC4BF0B-3A92-4788-B4E6-DA6E2F995E6A}" name="Thai Baht" dataDxfId="10"/>
    <tableColumn id="50" xr3:uid="{FBC62DEA-2E7B-42B6-B2A2-0B0761573552}" name="Trinidad And Tobago Dollar" dataDxfId="9"/>
    <tableColumn id="51" xr3:uid="{FC2AE8D6-0C54-4F08-8ACE-920444E537FA}" name="Tunisian Di0r" dataDxfId="8"/>
    <tableColumn id="52" xr3:uid="{170B4D17-85E1-4E54-8ECE-80E678EB8A27}" name="U.A.E. Dirham" dataDxfId="7"/>
    <tableColumn id="53" xr3:uid="{7956E6C3-329F-41AC-8312-C96FFD379988}" name="Peso Uruguayo" dataDxfId="6"/>
    <tableColumn id="54" xr3:uid="{A491F42F-1C5E-4941-9B84-211907A9B265}" name="Bolivar Fuerte" dataDxfId="5"/>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22"/>
  <sheetViews>
    <sheetView showGridLines="0" tabSelected="1" topLeftCell="B1" zoomScaleNormal="100" workbookViewId="0">
      <selection activeCell="K20" sqref="K20"/>
    </sheetView>
  </sheetViews>
  <sheetFormatPr defaultColWidth="0" defaultRowHeight="14.4" zeroHeight="1" x14ac:dyDescent="0.3"/>
  <cols>
    <col min="1" max="1" width="8.77734375" hidden="1" customWidth="1"/>
    <col min="2" max="2" width="10.33203125" customWidth="1"/>
    <col min="3" max="21" width="8.77734375" customWidth="1"/>
    <col min="22" max="25" width="0" hidden="1" customWidth="1"/>
    <col min="26" max="16382" width="11.44140625" hidden="1"/>
    <col min="16383" max="16383" width="11.33203125" hidden="1"/>
    <col min="16384" max="16384" width="11.44140625" hidden="1"/>
  </cols>
  <sheetData>
    <row r="1" spans="1:28" s="8" customFormat="1" ht="14.55" customHeight="1" x14ac:dyDescent="0.35">
      <c r="A1" s="7" t="s">
        <v>12</v>
      </c>
      <c r="B1" s="40"/>
      <c r="C1" s="45" t="s">
        <v>13</v>
      </c>
      <c r="D1" s="46"/>
      <c r="E1" s="46"/>
      <c r="F1" s="46"/>
      <c r="G1" s="46"/>
      <c r="H1" s="46"/>
      <c r="I1" s="46"/>
      <c r="J1" s="46"/>
      <c r="K1" s="46"/>
      <c r="L1" s="46"/>
      <c r="M1" s="46"/>
      <c r="N1" s="46"/>
      <c r="O1" s="46"/>
      <c r="P1" s="46"/>
      <c r="Q1" s="46"/>
      <c r="R1" s="46"/>
      <c r="S1" s="46"/>
      <c r="T1" s="46"/>
      <c r="U1" s="47"/>
      <c r="Y1" s="8">
        <v>1</v>
      </c>
    </row>
    <row r="2" spans="1:28" s="10" customFormat="1" x14ac:dyDescent="0.3">
      <c r="A2" s="9"/>
      <c r="B2" s="41"/>
      <c r="C2" s="48"/>
      <c r="D2" s="49"/>
      <c r="E2" s="49"/>
      <c r="F2" s="49"/>
      <c r="G2" s="49"/>
      <c r="H2" s="49"/>
      <c r="I2" s="49"/>
      <c r="J2" s="49"/>
      <c r="K2" s="49"/>
      <c r="L2" s="49"/>
      <c r="M2" s="49"/>
      <c r="N2" s="49"/>
      <c r="O2" s="49"/>
      <c r="P2" s="49"/>
      <c r="Q2" s="49"/>
      <c r="R2" s="49"/>
      <c r="S2" s="49"/>
      <c r="T2" s="49"/>
      <c r="U2" s="50"/>
      <c r="Y2" s="10">
        <v>2</v>
      </c>
    </row>
    <row r="3" spans="1:28" ht="14.55" customHeight="1" x14ac:dyDescent="0.3">
      <c r="A3" s="3"/>
      <c r="B3" s="17"/>
      <c r="C3" s="42" t="s">
        <v>68</v>
      </c>
      <c r="D3" s="43"/>
      <c r="E3" s="43"/>
      <c r="F3" s="43"/>
      <c r="G3" s="43"/>
      <c r="H3" s="43"/>
      <c r="I3" s="43"/>
      <c r="J3" s="43"/>
      <c r="K3" s="43"/>
      <c r="L3" s="43"/>
      <c r="M3" s="43"/>
      <c r="N3" s="43"/>
      <c r="O3" s="43"/>
      <c r="P3" s="43"/>
      <c r="Q3" s="43"/>
      <c r="R3" s="43"/>
      <c r="S3" s="43"/>
      <c r="T3" s="43"/>
      <c r="U3" s="43"/>
      <c r="Y3">
        <v>3</v>
      </c>
    </row>
    <row r="4" spans="1:28" ht="14.55" customHeight="1" x14ac:dyDescent="0.3">
      <c r="A4" s="3"/>
      <c r="B4" s="18" t="s">
        <v>18</v>
      </c>
      <c r="C4" s="44"/>
      <c r="D4" s="43"/>
      <c r="E4" s="43"/>
      <c r="F4" s="43"/>
      <c r="G4" s="43"/>
      <c r="H4" s="43"/>
      <c r="I4" s="43"/>
      <c r="J4" s="43"/>
      <c r="K4" s="43"/>
      <c r="L4" s="43"/>
      <c r="M4" s="43"/>
      <c r="N4" s="43"/>
      <c r="O4" s="43"/>
      <c r="P4" s="43"/>
      <c r="Q4" s="43"/>
      <c r="R4" s="43"/>
      <c r="S4" s="43"/>
      <c r="T4" s="43"/>
      <c r="U4" s="43"/>
      <c r="Y4">
        <v>4</v>
      </c>
    </row>
    <row r="5" spans="1:28" ht="15.6" x14ac:dyDescent="0.3">
      <c r="A5" s="3"/>
      <c r="B5" s="18" t="s">
        <v>66</v>
      </c>
      <c r="U5" s="2"/>
      <c r="Y5">
        <v>5</v>
      </c>
    </row>
    <row r="6" spans="1:28" ht="15.6" x14ac:dyDescent="0.3">
      <c r="A6" s="3"/>
      <c r="B6" s="18" t="s">
        <v>66</v>
      </c>
      <c r="C6" s="37"/>
      <c r="D6" s="37"/>
      <c r="J6" s="37"/>
      <c r="K6" s="37"/>
      <c r="P6" s="37"/>
      <c r="Q6" s="37"/>
      <c r="U6" s="2"/>
      <c r="Y6">
        <v>6</v>
      </c>
      <c r="AB6" t="s">
        <v>0</v>
      </c>
    </row>
    <row r="7" spans="1:28" ht="15.6" x14ac:dyDescent="0.3">
      <c r="A7" s="3"/>
      <c r="B7" s="18" t="s">
        <v>19</v>
      </c>
      <c r="U7" s="2"/>
      <c r="Y7">
        <v>7</v>
      </c>
      <c r="AB7" t="s">
        <v>1</v>
      </c>
    </row>
    <row r="8" spans="1:28" ht="15.6" x14ac:dyDescent="0.3">
      <c r="A8" s="3"/>
      <c r="B8" s="18" t="s">
        <v>17</v>
      </c>
      <c r="U8" s="2"/>
      <c r="Y8">
        <v>8</v>
      </c>
      <c r="AB8" t="s">
        <v>2</v>
      </c>
    </row>
    <row r="9" spans="1:28" ht="15.6" x14ac:dyDescent="0.3">
      <c r="A9" s="3"/>
      <c r="B9" s="18" t="s">
        <v>15</v>
      </c>
      <c r="C9" s="37"/>
      <c r="D9" s="37"/>
      <c r="J9" s="37"/>
      <c r="K9" s="37"/>
      <c r="U9" s="2"/>
      <c r="Y9">
        <v>9</v>
      </c>
      <c r="AB9" t="s">
        <v>3</v>
      </c>
    </row>
    <row r="10" spans="1:28" ht="15.6" x14ac:dyDescent="0.3">
      <c r="A10" s="3"/>
      <c r="B10" s="18" t="s">
        <v>16</v>
      </c>
      <c r="P10" s="37"/>
      <c r="Q10" s="37"/>
      <c r="U10" s="2"/>
      <c r="Y10">
        <v>10</v>
      </c>
      <c r="AB10" t="s">
        <v>4</v>
      </c>
    </row>
    <row r="11" spans="1:28" ht="15.6" x14ac:dyDescent="0.3">
      <c r="A11" s="3"/>
      <c r="B11" s="18"/>
      <c r="R11" s="51"/>
      <c r="S11" s="51"/>
      <c r="T11" s="51"/>
      <c r="U11" s="52"/>
      <c r="Y11">
        <v>11</v>
      </c>
      <c r="AB11" t="s">
        <v>5</v>
      </c>
    </row>
    <row r="12" spans="1:28" ht="15.6" x14ac:dyDescent="0.3">
      <c r="A12" s="3"/>
      <c r="B12" s="18" t="s">
        <v>14</v>
      </c>
      <c r="C12" s="38"/>
      <c r="D12" s="39"/>
      <c r="G12" s="11"/>
      <c r="J12" s="37"/>
      <c r="K12" s="37"/>
      <c r="P12" s="37"/>
      <c r="Q12" s="37"/>
      <c r="Y12">
        <v>12</v>
      </c>
      <c r="AB12" t="s">
        <v>6</v>
      </c>
    </row>
    <row r="13" spans="1:28" ht="15.6" x14ac:dyDescent="0.3">
      <c r="A13" s="3"/>
      <c r="B13" s="18" t="s">
        <v>18</v>
      </c>
      <c r="U13" s="2"/>
      <c r="Y13">
        <v>13</v>
      </c>
      <c r="AB13" t="s">
        <v>7</v>
      </c>
    </row>
    <row r="14" spans="1:28" ht="15.6" x14ac:dyDescent="0.3">
      <c r="A14" s="3"/>
      <c r="B14" s="18" t="s">
        <v>20</v>
      </c>
      <c r="U14" s="2"/>
      <c r="Y14">
        <v>14</v>
      </c>
      <c r="AB14" t="s">
        <v>8</v>
      </c>
    </row>
    <row r="15" spans="1:28" ht="15.6" x14ac:dyDescent="0.3">
      <c r="A15" s="3"/>
      <c r="B15" s="18" t="s">
        <v>15</v>
      </c>
      <c r="C15" s="37"/>
      <c r="D15" s="37"/>
      <c r="J15" s="37"/>
      <c r="K15" s="37"/>
      <c r="U15" s="2"/>
      <c r="Y15">
        <v>15</v>
      </c>
    </row>
    <row r="16" spans="1:28" ht="15.6" x14ac:dyDescent="0.3">
      <c r="A16" s="3"/>
      <c r="B16" s="18" t="s">
        <v>67</v>
      </c>
      <c r="U16" s="2"/>
      <c r="Y16">
        <v>16</v>
      </c>
    </row>
    <row r="17" spans="1:28" ht="15.6" x14ac:dyDescent="0.3">
      <c r="A17" s="3"/>
      <c r="B17" s="18" t="s">
        <v>17</v>
      </c>
      <c r="U17" s="2"/>
      <c r="Y17">
        <v>17</v>
      </c>
    </row>
    <row r="18" spans="1:28" ht="15.6" x14ac:dyDescent="0.3">
      <c r="A18" s="3"/>
      <c r="B18" s="18" t="s">
        <v>18</v>
      </c>
      <c r="C18" s="37"/>
      <c r="D18" s="37"/>
      <c r="J18" s="37"/>
      <c r="K18" s="37"/>
      <c r="U18" s="2"/>
      <c r="Y18">
        <v>18</v>
      </c>
      <c r="AB18" t="s">
        <v>9</v>
      </c>
    </row>
    <row r="19" spans="1:28" ht="15.6" x14ac:dyDescent="0.3">
      <c r="A19" s="3"/>
      <c r="B19" s="18" t="s">
        <v>19</v>
      </c>
      <c r="U19" s="2"/>
      <c r="Y19">
        <v>19</v>
      </c>
      <c r="AB19" t="s">
        <v>10</v>
      </c>
    </row>
    <row r="20" spans="1:28" ht="15.6" x14ac:dyDescent="0.3">
      <c r="A20" s="3"/>
      <c r="B20" s="18" t="s">
        <v>21</v>
      </c>
      <c r="U20" s="2"/>
      <c r="Y20">
        <v>20</v>
      </c>
      <c r="AB20" t="s">
        <v>11</v>
      </c>
    </row>
    <row r="21" spans="1:28" x14ac:dyDescent="0.3">
      <c r="A21" s="3"/>
      <c r="B21" s="17"/>
      <c r="C21" s="37"/>
      <c r="D21" s="37"/>
      <c r="J21" s="37"/>
      <c r="K21" s="37"/>
      <c r="U21" s="2"/>
      <c r="Y21">
        <v>21</v>
      </c>
    </row>
    <row r="22" spans="1:28" s="5" customFormat="1" ht="15" thickBot="1" x14ac:dyDescent="0.35">
      <c r="A22" s="4"/>
      <c r="B22" s="19"/>
      <c r="C22" s="16"/>
      <c r="U22" s="6"/>
      <c r="Y22" s="5">
        <v>22</v>
      </c>
    </row>
  </sheetData>
  <mergeCells count="19">
    <mergeCell ref="P12:Q12"/>
    <mergeCell ref="B1:B2"/>
    <mergeCell ref="C3:U4"/>
    <mergeCell ref="J9:K9"/>
    <mergeCell ref="C1:U2"/>
    <mergeCell ref="P6:Q6"/>
    <mergeCell ref="P10:Q10"/>
    <mergeCell ref="R11:U11"/>
    <mergeCell ref="C21:D21"/>
    <mergeCell ref="J6:K6"/>
    <mergeCell ref="J12:K12"/>
    <mergeCell ref="J15:K15"/>
    <mergeCell ref="J18:K18"/>
    <mergeCell ref="J21:K21"/>
    <mergeCell ref="C6:D6"/>
    <mergeCell ref="C9:D9"/>
    <mergeCell ref="C12:D12"/>
    <mergeCell ref="C15:D15"/>
    <mergeCell ref="C18:D18"/>
  </mergeCells>
  <pageMargins left="0.7" right="0.7" top="0.75" bottom="0.75" header="0.3" footer="0.3"/>
  <pageSetup scale="51" orientation="portrait" horizontalDpi="90" verticalDpi="90" r:id="rId1"/>
  <drawing r:id="rId2"/>
  <legacyDrawing r:id="rId3"/>
  <controls>
    <mc:AlternateContent xmlns:mc="http://schemas.openxmlformats.org/markup-compatibility/2006">
      <mc:Choice Requires="x14">
        <control shapeId="1044" r:id="rId4" name="cmdedit">
          <controlPr defaultSize="0" autoLine="0" autoPict="0" r:id="rId5">
            <anchor moveWithCells="1">
              <from>
                <xdr:col>16</xdr:col>
                <xdr:colOff>579120</xdr:colOff>
                <xdr:row>18</xdr:row>
                <xdr:rowOff>198120</xdr:rowOff>
              </from>
              <to>
                <xdr:col>19</xdr:col>
                <xdr:colOff>403860</xdr:colOff>
                <xdr:row>21</xdr:row>
                <xdr:rowOff>60960</xdr:rowOff>
              </to>
            </anchor>
          </controlPr>
        </control>
      </mc:Choice>
      <mc:Fallback>
        <control shapeId="1044" r:id="rId4" name="cmdedit"/>
      </mc:Fallback>
    </mc:AlternateContent>
    <mc:AlternateContent xmlns:mc="http://schemas.openxmlformats.org/markup-compatibility/2006">
      <mc:Choice Requires="x14">
        <control shapeId="1043" r:id="rId6" name="cmdReset">
          <controlPr defaultSize="0" autoLine="0" autoPict="0" r:id="rId7">
            <anchor moveWithCells="1">
              <from>
                <xdr:col>16</xdr:col>
                <xdr:colOff>579120</xdr:colOff>
                <xdr:row>16</xdr:row>
                <xdr:rowOff>15240</xdr:rowOff>
              </from>
              <to>
                <xdr:col>19</xdr:col>
                <xdr:colOff>396240</xdr:colOff>
                <xdr:row>18</xdr:row>
                <xdr:rowOff>76200</xdr:rowOff>
              </to>
            </anchor>
          </controlPr>
        </control>
      </mc:Choice>
      <mc:Fallback>
        <control shapeId="1043" r:id="rId6" name="cmdReset"/>
      </mc:Fallback>
    </mc:AlternateContent>
    <mc:AlternateContent xmlns:mc="http://schemas.openxmlformats.org/markup-compatibility/2006">
      <mc:Choice Requires="x14">
        <control shapeId="1042" r:id="rId8" name="cmdSave">
          <controlPr defaultSize="0" autoLine="0" r:id="rId9">
            <anchor moveWithCells="1">
              <from>
                <xdr:col>16</xdr:col>
                <xdr:colOff>563880</xdr:colOff>
                <xdr:row>12</xdr:row>
                <xdr:rowOff>137160</xdr:rowOff>
              </from>
              <to>
                <xdr:col>19</xdr:col>
                <xdr:colOff>403860</xdr:colOff>
                <xdr:row>15</xdr:row>
                <xdr:rowOff>22860</xdr:rowOff>
              </to>
            </anchor>
          </controlPr>
        </control>
      </mc:Choice>
      <mc:Fallback>
        <control shapeId="1042" r:id="rId8" name="cmdSave"/>
      </mc:Fallback>
    </mc:AlternateContent>
    <mc:AlternateContent xmlns:mc="http://schemas.openxmlformats.org/markup-compatibility/2006">
      <mc:Choice Requires="x14">
        <control shapeId="1041" r:id="rId10" name="txtpoc">
          <controlPr defaultSize="0" autoLine="0" autoPict="0" r:id="rId11">
            <anchor moveWithCells="1">
              <from>
                <xdr:col>5</xdr:col>
                <xdr:colOff>579120</xdr:colOff>
                <xdr:row>5</xdr:row>
                <xdr:rowOff>60960</xdr:rowOff>
              </from>
              <to>
                <xdr:col>8</xdr:col>
                <xdr:colOff>502920</xdr:colOff>
                <xdr:row>6</xdr:row>
                <xdr:rowOff>160020</xdr:rowOff>
              </to>
            </anchor>
          </controlPr>
        </control>
      </mc:Choice>
      <mc:Fallback>
        <control shapeId="1041" r:id="rId10" name="txtpoc"/>
      </mc:Fallback>
    </mc:AlternateContent>
    <mc:AlternateContent xmlns:mc="http://schemas.openxmlformats.org/markup-compatibility/2006">
      <mc:Choice Requires="x14">
        <control shapeId="1038" r:id="rId12" name="txterror">
          <controlPr defaultSize="0" autoLine="0" r:id="rId13">
            <anchor moveWithCells="1">
              <from>
                <xdr:col>5</xdr:col>
                <xdr:colOff>586740</xdr:colOff>
                <xdr:row>18</xdr:row>
                <xdr:rowOff>190500</xdr:rowOff>
              </from>
              <to>
                <xdr:col>8</xdr:col>
                <xdr:colOff>548640</xdr:colOff>
                <xdr:row>20</xdr:row>
                <xdr:rowOff>76200</xdr:rowOff>
              </to>
            </anchor>
          </controlPr>
        </control>
      </mc:Choice>
      <mc:Fallback>
        <control shapeId="1038" r:id="rId12" name="txterror"/>
      </mc:Fallback>
    </mc:AlternateContent>
    <mc:AlternateContent xmlns:mc="http://schemas.openxmlformats.org/markup-compatibility/2006">
      <mc:Choice Requires="x14">
        <control shapeId="1034" r:id="rId14" name="txteta">
          <controlPr defaultSize="0" autoLine="0" r:id="rId15">
            <anchor moveWithCells="1">
              <from>
                <xdr:col>13</xdr:col>
                <xdr:colOff>60960</xdr:colOff>
                <xdr:row>8</xdr:row>
                <xdr:rowOff>121920</xdr:rowOff>
              </from>
              <to>
                <xdr:col>16</xdr:col>
                <xdr:colOff>83820</xdr:colOff>
                <xdr:row>10</xdr:row>
                <xdr:rowOff>22860</xdr:rowOff>
              </to>
            </anchor>
          </controlPr>
        </control>
      </mc:Choice>
      <mc:Fallback>
        <control shapeId="1034" r:id="rId14" name="txteta"/>
      </mc:Fallback>
    </mc:AlternateContent>
    <mc:AlternateContent xmlns:mc="http://schemas.openxmlformats.org/markup-compatibility/2006">
      <mc:Choice Requires="x14">
        <control shapeId="1031" r:id="rId16" name="txtenddt">
          <controlPr defaultSize="0" autoLine="0" r:id="rId17">
            <anchor moveWithCells="1">
              <from>
                <xdr:col>13</xdr:col>
                <xdr:colOff>60960</xdr:colOff>
                <xdr:row>5</xdr:row>
                <xdr:rowOff>7620</xdr:rowOff>
              </from>
              <to>
                <xdr:col>16</xdr:col>
                <xdr:colOff>76200</xdr:colOff>
                <xdr:row>6</xdr:row>
                <xdr:rowOff>76200</xdr:rowOff>
              </to>
            </anchor>
          </controlPr>
        </control>
      </mc:Choice>
      <mc:Fallback>
        <control shapeId="1031" r:id="rId16" name="txtenddt"/>
      </mc:Fallback>
    </mc:AlternateContent>
    <mc:AlternateContent xmlns:mc="http://schemas.openxmlformats.org/markup-compatibility/2006">
      <mc:Choice Requires="x14">
        <control shapeId="1030" r:id="rId18" name="cmbThread">
          <controlPr defaultSize="0" autoLine="0" listFillRange="Y1:Y22" r:id="rId19">
            <anchor moveWithCells="1">
              <from>
                <xdr:col>18</xdr:col>
                <xdr:colOff>594360</xdr:colOff>
                <xdr:row>4</xdr:row>
                <xdr:rowOff>76200</xdr:rowOff>
              </from>
              <to>
                <xdr:col>20</xdr:col>
                <xdr:colOff>510540</xdr:colOff>
                <xdr:row>6</xdr:row>
                <xdr:rowOff>22860</xdr:rowOff>
              </to>
            </anchor>
          </controlPr>
        </control>
      </mc:Choice>
      <mc:Fallback>
        <control shapeId="1030" r:id="rId18" name="cmbThread"/>
      </mc:Fallback>
    </mc:AlternateContent>
    <mc:AlternateContent xmlns:mc="http://schemas.openxmlformats.org/markup-compatibility/2006">
      <mc:Choice Requires="x14">
        <control shapeId="1029" r:id="rId20" name="txttaskcount">
          <controlPr defaultSize="0" autoLine="0" r:id="rId21">
            <anchor moveWithCells="1">
              <from>
                <xdr:col>5</xdr:col>
                <xdr:colOff>579120</xdr:colOff>
                <xdr:row>15</xdr:row>
                <xdr:rowOff>99060</xdr:rowOff>
              </from>
              <to>
                <xdr:col>8</xdr:col>
                <xdr:colOff>518160</xdr:colOff>
                <xdr:row>17</xdr:row>
                <xdr:rowOff>45720</xdr:rowOff>
              </to>
            </anchor>
          </controlPr>
        </control>
      </mc:Choice>
      <mc:Fallback>
        <control shapeId="1029" r:id="rId20" name="txttaskcount"/>
      </mc:Fallback>
    </mc:AlternateContent>
    <mc:AlternateContent xmlns:mc="http://schemas.openxmlformats.org/markup-compatibility/2006">
      <mc:Choice Requires="x14">
        <control shapeId="1028" r:id="rId22" name="txtstdate">
          <controlPr defaultSize="0" autoLine="0" autoPict="0" r:id="rId23">
            <anchor moveWithCells="1">
              <from>
                <xdr:col>5</xdr:col>
                <xdr:colOff>579120</xdr:colOff>
                <xdr:row>12</xdr:row>
                <xdr:rowOff>53340</xdr:rowOff>
              </from>
              <to>
                <xdr:col>8</xdr:col>
                <xdr:colOff>518160</xdr:colOff>
                <xdr:row>13</xdr:row>
                <xdr:rowOff>137160</xdr:rowOff>
              </to>
            </anchor>
          </controlPr>
        </control>
      </mc:Choice>
      <mc:Fallback>
        <control shapeId="1028" r:id="rId22" name="txtstdate"/>
      </mc:Fallback>
    </mc:AlternateContent>
    <mc:AlternateContent xmlns:mc="http://schemas.openxmlformats.org/markup-compatibility/2006">
      <mc:Choice Requires="x14">
        <control shapeId="1027" r:id="rId24" name="txtDname">
          <controlPr defaultSize="0" autoLine="0" autoPict="0" r:id="rId25">
            <anchor moveWithCells="1">
              <from>
                <xdr:col>5</xdr:col>
                <xdr:colOff>586740</xdr:colOff>
                <xdr:row>8</xdr:row>
                <xdr:rowOff>167640</xdr:rowOff>
              </from>
              <to>
                <xdr:col>8</xdr:col>
                <xdr:colOff>502920</xdr:colOff>
                <xdr:row>10</xdr:row>
                <xdr:rowOff>30480</xdr:rowOff>
              </to>
            </anchor>
          </controlPr>
        </control>
      </mc:Choice>
      <mc:Fallback>
        <control shapeId="1027" r:id="rId24" name="txtDname"/>
      </mc:Fallback>
    </mc:AlternateContent>
    <mc:AlternateContent xmlns:mc="http://schemas.openxmlformats.org/markup-compatibility/2006">
      <mc:Choice Requires="x14">
        <control shapeId="1025" r:id="rId26" name="txtproject">
          <controlPr defaultSize="0" autoLine="0" autoPict="0" r:id="rId27">
            <anchor moveWithCells="1">
              <from>
                <xdr:col>18</xdr:col>
                <xdr:colOff>594360</xdr:colOff>
                <xdr:row>6</xdr:row>
                <xdr:rowOff>144780</xdr:rowOff>
              </from>
              <to>
                <xdr:col>20</xdr:col>
                <xdr:colOff>472440</xdr:colOff>
                <xdr:row>9</xdr:row>
                <xdr:rowOff>167640</xdr:rowOff>
              </to>
            </anchor>
          </controlPr>
        </control>
      </mc:Choice>
      <mc:Fallback>
        <control shapeId="1025" r:id="rId26" name="txtprojec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23FCD-93B8-4F7D-89FC-20BFAAFDE183}">
  <sheetPr codeName="Sheet2"/>
  <dimension ref="A1:BB14"/>
  <sheetViews>
    <sheetView showGridLines="0" workbookViewId="0">
      <selection sqref="A1:BB14"/>
    </sheetView>
  </sheetViews>
  <sheetFormatPr defaultRowHeight="14.4" x14ac:dyDescent="0.3"/>
  <cols>
    <col min="1" max="1" width="4.6640625" customWidth="1"/>
    <col min="2" max="2" width="12" customWidth="1"/>
    <col min="3" max="3" width="6" customWidth="1"/>
    <col min="4" max="4" width="14" customWidth="1"/>
    <col min="5" max="5" width="7.77734375" bestFit="1" customWidth="1"/>
    <col min="6" max="6" width="14" customWidth="1"/>
    <col min="7" max="7" width="18.88671875" customWidth="1"/>
    <col min="8" max="8" width="11.5546875" customWidth="1"/>
    <col min="9" max="9" width="14.6640625" customWidth="1"/>
    <col min="10" max="10" width="16.77734375" customWidth="1"/>
    <col min="11" max="11" width="14.21875" customWidth="1"/>
    <col min="12" max="12" width="15.21875" customWidth="1"/>
    <col min="13" max="13" width="13.88671875" customWidth="1"/>
    <col min="14" max="14" width="13.77734375" customWidth="1"/>
    <col min="15" max="15" width="16.109375" customWidth="1"/>
    <col min="16" max="16" width="13.44140625" customWidth="1"/>
    <col min="17" max="17" width="16.21875" customWidth="1"/>
    <col min="18" max="18" width="14.21875" customWidth="1"/>
    <col min="19" max="19" width="14" customWidth="1"/>
    <col min="20" max="20" width="16.88671875" customWidth="1"/>
    <col min="21" max="21" width="15.5546875" customWidth="1"/>
    <col min="22" max="22" width="13.77734375" customWidth="1"/>
    <col min="23" max="23" width="18.33203125" customWidth="1"/>
    <col min="24" max="24" width="12.21875" customWidth="1"/>
    <col min="25" max="25" width="18" customWidth="1"/>
    <col min="26" max="26" width="18.33203125" customWidth="1"/>
    <col min="27" max="27" width="13.21875" customWidth="1"/>
    <col min="28" max="28" width="14.109375" customWidth="1"/>
    <col min="29" max="29" width="13.21875" customWidth="1"/>
    <col min="30" max="30" width="17.33203125" customWidth="1"/>
    <col min="31" max="31" width="16.77734375" customWidth="1"/>
    <col min="32" max="32" width="14.21875" customWidth="1"/>
    <col min="33" max="33" width="16.21875" customWidth="1"/>
    <col min="34" max="34" width="19.109375" customWidth="1"/>
    <col min="35" max="35" width="17.21875" customWidth="1"/>
    <col min="36" max="36" width="11.77734375" customWidth="1"/>
    <col min="37" max="37" width="16.21875" customWidth="1"/>
    <col min="38" max="38" width="11.109375" customWidth="1"/>
    <col min="39" max="39" width="15.5546875" customWidth="1"/>
    <col min="40" max="40" width="12.44140625" customWidth="1"/>
    <col min="41" max="41" width="12" customWidth="1"/>
    <col min="42" max="42" width="14.33203125" customWidth="1"/>
    <col min="43" max="43" width="18.77734375" customWidth="1"/>
    <col min="44" max="44" width="16.5546875" customWidth="1"/>
    <col min="45" max="45" width="18.77734375" customWidth="1"/>
    <col min="46" max="46" width="16" customWidth="1"/>
    <col min="47" max="47" width="15.109375" customWidth="1"/>
    <col min="48" max="48" width="12.21875" customWidth="1"/>
    <col min="49" max="49" width="10.77734375" customWidth="1"/>
    <col min="50" max="50" width="25.6640625" customWidth="1"/>
    <col min="51" max="51" width="14.77734375" customWidth="1"/>
    <col min="52" max="52" width="14.5546875" customWidth="1"/>
    <col min="53" max="53" width="15.33203125" customWidth="1"/>
    <col min="54" max="54" width="14.44140625" customWidth="1"/>
  </cols>
  <sheetData>
    <row r="1" spans="1:54" x14ac:dyDescent="0.3">
      <c r="A1" s="26" t="s">
        <v>22</v>
      </c>
      <c r="B1" s="27" t="s">
        <v>23</v>
      </c>
      <c r="C1" s="27" t="s">
        <v>24</v>
      </c>
      <c r="D1" s="27" t="s">
        <v>25</v>
      </c>
      <c r="E1" s="27" t="s">
        <v>26</v>
      </c>
      <c r="F1" s="27" t="s">
        <v>27</v>
      </c>
      <c r="G1" s="27" t="s">
        <v>28</v>
      </c>
      <c r="H1" s="27" t="s">
        <v>29</v>
      </c>
      <c r="I1" s="27" t="s">
        <v>76</v>
      </c>
      <c r="J1" s="27" t="s">
        <v>30</v>
      </c>
      <c r="K1" s="27" t="s">
        <v>77</v>
      </c>
      <c r="L1" s="27" t="s">
        <v>78</v>
      </c>
      <c r="M1" s="27" t="s">
        <v>31</v>
      </c>
      <c r="N1" s="27" t="s">
        <v>32</v>
      </c>
      <c r="O1" s="27" t="s">
        <v>79</v>
      </c>
      <c r="P1" s="27" t="s">
        <v>33</v>
      </c>
      <c r="Q1" s="27" t="s">
        <v>34</v>
      </c>
      <c r="R1" s="27" t="s">
        <v>80</v>
      </c>
      <c r="S1" s="27" t="s">
        <v>35</v>
      </c>
      <c r="T1" s="27" t="s">
        <v>36</v>
      </c>
      <c r="U1" s="27" t="s">
        <v>81</v>
      </c>
      <c r="V1" s="27" t="s">
        <v>37</v>
      </c>
      <c r="W1" s="27" t="s">
        <v>38</v>
      </c>
      <c r="X1" s="27" t="s">
        <v>39</v>
      </c>
      <c r="Y1" s="27" t="s">
        <v>40</v>
      </c>
      <c r="Z1" s="27" t="s">
        <v>41</v>
      </c>
      <c r="AA1" s="27" t="s">
        <v>42</v>
      </c>
      <c r="AB1" s="27" t="s">
        <v>82</v>
      </c>
      <c r="AC1" s="27" t="s">
        <v>83</v>
      </c>
      <c r="AD1" s="27" t="s">
        <v>43</v>
      </c>
      <c r="AE1" s="27" t="s">
        <v>44</v>
      </c>
      <c r="AF1" s="27" t="s">
        <v>45</v>
      </c>
      <c r="AG1" s="27" t="s">
        <v>46</v>
      </c>
      <c r="AH1" s="27" t="s">
        <v>47</v>
      </c>
      <c r="AI1" s="27" t="s">
        <v>48</v>
      </c>
      <c r="AJ1" s="27" t="s">
        <v>49</v>
      </c>
      <c r="AK1" s="27" t="s">
        <v>50</v>
      </c>
      <c r="AL1" s="27" t="s">
        <v>51</v>
      </c>
      <c r="AM1" s="27" t="s">
        <v>52</v>
      </c>
      <c r="AN1" s="27" t="s">
        <v>53</v>
      </c>
      <c r="AO1" s="27" t="s">
        <v>54</v>
      </c>
      <c r="AP1" s="27" t="s">
        <v>55</v>
      </c>
      <c r="AQ1" s="27" t="s">
        <v>56</v>
      </c>
      <c r="AR1" s="27" t="s">
        <v>57</v>
      </c>
      <c r="AS1" s="27" t="s">
        <v>58</v>
      </c>
      <c r="AT1" s="27" t="s">
        <v>59</v>
      </c>
      <c r="AU1" s="27" t="s">
        <v>84</v>
      </c>
      <c r="AV1" s="27" t="s">
        <v>60</v>
      </c>
      <c r="AW1" s="27" t="s">
        <v>61</v>
      </c>
      <c r="AX1" s="27" t="s">
        <v>62</v>
      </c>
      <c r="AY1" s="27" t="s">
        <v>85</v>
      </c>
      <c r="AZ1" s="27" t="s">
        <v>63</v>
      </c>
      <c r="BA1" s="27" t="s">
        <v>64</v>
      </c>
      <c r="BB1" s="28" t="s">
        <v>65</v>
      </c>
    </row>
    <row r="2" spans="1:54" x14ac:dyDescent="0.3">
      <c r="A2" s="20">
        <v>1</v>
      </c>
      <c r="B2" s="24">
        <v>42552</v>
      </c>
      <c r="C2" s="1">
        <v>1</v>
      </c>
      <c r="D2" s="1">
        <v>9.2944600000000008</v>
      </c>
      <c r="E2" s="1">
        <v>1.2536700000000001</v>
      </c>
      <c r="F2" s="1">
        <v>143.64500000000001</v>
      </c>
      <c r="G2" s="1">
        <v>1.05054</v>
      </c>
      <c r="H2" s="1">
        <v>1.3959600000000001</v>
      </c>
      <c r="I2" s="1">
        <v>0</v>
      </c>
      <c r="J2" s="1">
        <v>1.8712599999999999</v>
      </c>
      <c r="K2" s="1">
        <v>0.52488199999999996</v>
      </c>
      <c r="L2" s="1">
        <v>0</v>
      </c>
      <c r="M2" s="1">
        <v>4.4799300000000004</v>
      </c>
      <c r="N2" s="1">
        <v>1.87785</v>
      </c>
      <c r="O2" s="1">
        <v>0</v>
      </c>
      <c r="P2" s="1">
        <v>923.25</v>
      </c>
      <c r="Q2" s="25">
        <v>4074.83</v>
      </c>
      <c r="R2" s="1">
        <v>33.970700000000001</v>
      </c>
      <c r="S2" s="1">
        <v>9.3247</v>
      </c>
      <c r="T2" s="1">
        <v>397.68200000000002</v>
      </c>
      <c r="U2" s="1">
        <v>171.32599999999999</v>
      </c>
      <c r="V2" s="1">
        <v>94.145099999999999</v>
      </c>
      <c r="W2" s="25">
        <v>18387.599999999999</v>
      </c>
      <c r="X2" s="1">
        <v>0</v>
      </c>
      <c r="Y2" s="1">
        <v>5.3660699999999997</v>
      </c>
      <c r="Z2" s="1">
        <v>471.892</v>
      </c>
      <c r="AA2" s="25">
        <v>1608.98</v>
      </c>
      <c r="AB2" s="1">
        <v>0.421232</v>
      </c>
      <c r="AC2" s="1">
        <v>1.9323999999999999</v>
      </c>
      <c r="AD2" s="1">
        <v>5.5740699999999999</v>
      </c>
      <c r="AE2" s="1">
        <v>49.577100000000002</v>
      </c>
      <c r="AF2" s="1">
        <v>25.558599999999998</v>
      </c>
      <c r="AG2" s="1">
        <v>150.82</v>
      </c>
      <c r="AH2" s="1">
        <v>1.95842</v>
      </c>
      <c r="AI2" s="1">
        <v>11.656000000000001</v>
      </c>
      <c r="AJ2" s="1">
        <v>0.536748</v>
      </c>
      <c r="AK2" s="1">
        <v>0</v>
      </c>
      <c r="AL2" s="1">
        <v>0</v>
      </c>
      <c r="AM2" s="1">
        <v>65.619799999999998</v>
      </c>
      <c r="AN2" s="1">
        <v>5.52074</v>
      </c>
      <c r="AO2" s="1">
        <v>5.0812999999999997</v>
      </c>
      <c r="AP2" s="1">
        <v>89.364699999999999</v>
      </c>
      <c r="AQ2" s="1">
        <v>5.2348600000000003</v>
      </c>
      <c r="AR2" s="1">
        <v>1.87785</v>
      </c>
      <c r="AS2" s="1">
        <v>20.352799999999998</v>
      </c>
      <c r="AT2" s="1">
        <v>202.76300000000001</v>
      </c>
      <c r="AU2" s="1">
        <v>11.8246</v>
      </c>
      <c r="AV2" s="1">
        <v>1.36009</v>
      </c>
      <c r="AW2" s="1">
        <v>0</v>
      </c>
      <c r="AX2" s="1">
        <v>9.2842800000000008</v>
      </c>
      <c r="AY2" s="1">
        <v>3.0603500000000001</v>
      </c>
      <c r="AZ2" s="1">
        <v>5.1266800000000003</v>
      </c>
      <c r="BA2" s="1">
        <v>0</v>
      </c>
      <c r="BB2" s="12">
        <v>13.9247</v>
      </c>
    </row>
    <row r="3" spans="1:54" x14ac:dyDescent="0.3">
      <c r="A3" s="20">
        <v>2</v>
      </c>
      <c r="B3" s="24">
        <v>42556</v>
      </c>
      <c r="C3" s="1">
        <v>5</v>
      </c>
      <c r="D3" s="1">
        <v>9.3151499999999992</v>
      </c>
      <c r="E3" s="1">
        <v>1.25322</v>
      </c>
      <c r="F3" s="1">
        <v>142.715</v>
      </c>
      <c r="G3" s="1">
        <v>1.0614300000000001</v>
      </c>
      <c r="H3" s="1">
        <v>1.3968400000000001</v>
      </c>
      <c r="I3" s="1">
        <v>154.06299999999999</v>
      </c>
      <c r="J3" s="1">
        <v>1.85825</v>
      </c>
      <c r="K3" s="1">
        <v>0.52521300000000004</v>
      </c>
      <c r="L3" s="1">
        <v>15.216200000000001</v>
      </c>
      <c r="M3" s="1">
        <v>4.5361099999999999</v>
      </c>
      <c r="N3" s="1">
        <v>1.8819699999999999</v>
      </c>
      <c r="O3" s="1">
        <v>1.80877</v>
      </c>
      <c r="P3" s="1">
        <v>920.88699999999994</v>
      </c>
      <c r="Q3" s="25">
        <v>4070.93</v>
      </c>
      <c r="R3" s="1">
        <v>0</v>
      </c>
      <c r="S3" s="1">
        <v>9.3239199999999993</v>
      </c>
      <c r="T3" s="1">
        <v>397.738</v>
      </c>
      <c r="U3" s="1">
        <v>171.04300000000001</v>
      </c>
      <c r="V3" s="1">
        <v>94.151300000000006</v>
      </c>
      <c r="W3" s="1">
        <v>0</v>
      </c>
      <c r="X3" s="25">
        <v>43008.7</v>
      </c>
      <c r="Y3" s="1">
        <v>5.4043799999999997</v>
      </c>
      <c r="Z3" s="1">
        <v>470.834</v>
      </c>
      <c r="AA3" s="25">
        <v>1603.72</v>
      </c>
      <c r="AB3" s="1">
        <v>0</v>
      </c>
      <c r="AC3" s="1">
        <v>1.9323999999999999</v>
      </c>
      <c r="AD3" s="1">
        <v>5.5880599999999996</v>
      </c>
      <c r="AE3" s="1">
        <v>49.584499999999998</v>
      </c>
      <c r="AF3" s="1">
        <v>26.195799999999998</v>
      </c>
      <c r="AG3" s="1">
        <v>150.244</v>
      </c>
      <c r="AH3" s="1">
        <v>1.9395199999999999</v>
      </c>
      <c r="AI3" s="1">
        <v>11.6797</v>
      </c>
      <c r="AJ3" s="1">
        <v>0.53708599999999995</v>
      </c>
      <c r="AK3" s="1">
        <v>0</v>
      </c>
      <c r="AL3" s="1">
        <v>4.59002</v>
      </c>
      <c r="AM3" s="1">
        <v>65.418499999999995</v>
      </c>
      <c r="AN3" s="1">
        <v>5.5822000000000003</v>
      </c>
      <c r="AO3" s="1">
        <v>5.0845000000000002</v>
      </c>
      <c r="AP3" s="1">
        <v>89.7714</v>
      </c>
      <c r="AQ3" s="1">
        <v>5.2381500000000001</v>
      </c>
      <c r="AR3" s="1">
        <v>1.8819699999999999</v>
      </c>
      <c r="AS3" s="1">
        <v>20.623999999999999</v>
      </c>
      <c r="AT3" s="1">
        <v>202.886</v>
      </c>
      <c r="AU3" s="1">
        <v>11.762700000000001</v>
      </c>
      <c r="AV3" s="1">
        <v>1.3568899999999999</v>
      </c>
      <c r="AW3" s="1">
        <v>49.0655</v>
      </c>
      <c r="AX3" s="1">
        <v>9.2672399999999993</v>
      </c>
      <c r="AY3" s="1">
        <v>0</v>
      </c>
      <c r="AZ3" s="1">
        <v>5.1299200000000003</v>
      </c>
      <c r="BA3" s="1">
        <v>42.9026</v>
      </c>
      <c r="BB3" s="12">
        <v>13.9335</v>
      </c>
    </row>
    <row r="4" spans="1:54" x14ac:dyDescent="0.3">
      <c r="A4" s="20">
        <v>3</v>
      </c>
      <c r="B4" s="24">
        <v>42557</v>
      </c>
      <c r="C4" s="1">
        <v>6</v>
      </c>
      <c r="D4" s="1">
        <v>9.3169699999999995</v>
      </c>
      <c r="E4" s="1">
        <v>1.25434</v>
      </c>
      <c r="F4" s="1">
        <v>140.54</v>
      </c>
      <c r="G4" s="1">
        <v>1.073</v>
      </c>
      <c r="H4" s="1">
        <v>1.39286</v>
      </c>
      <c r="I4" s="1">
        <v>154.09399999999999</v>
      </c>
      <c r="J4" s="1">
        <v>1.87313</v>
      </c>
      <c r="K4" s="1">
        <v>0.52371699999999999</v>
      </c>
      <c r="L4" s="1">
        <v>15.2392</v>
      </c>
      <c r="M4" s="1">
        <v>4.5822399999999996</v>
      </c>
      <c r="N4" s="1">
        <v>0</v>
      </c>
      <c r="O4" s="1">
        <v>1.81141</v>
      </c>
      <c r="P4" s="1">
        <v>921.08199999999999</v>
      </c>
      <c r="Q4" s="25">
        <v>4132.4399999999996</v>
      </c>
      <c r="R4" s="1">
        <v>0</v>
      </c>
      <c r="S4" s="1">
        <v>9.3634699999999995</v>
      </c>
      <c r="T4" s="1">
        <v>398.95600000000002</v>
      </c>
      <c r="U4" s="1">
        <v>171.33600000000001</v>
      </c>
      <c r="V4" s="1">
        <v>0</v>
      </c>
      <c r="W4" s="1">
        <v>0</v>
      </c>
      <c r="X4" s="1">
        <v>0</v>
      </c>
      <c r="Y4" s="1">
        <v>5.4252000000000002</v>
      </c>
      <c r="Z4" s="1">
        <v>0</v>
      </c>
      <c r="AA4" s="25">
        <v>1605.97</v>
      </c>
      <c r="AB4" s="1">
        <v>0</v>
      </c>
      <c r="AC4" s="1">
        <v>1.9323999999999999</v>
      </c>
      <c r="AD4" s="1">
        <v>0</v>
      </c>
      <c r="AE4" s="1">
        <v>0</v>
      </c>
      <c r="AF4" s="1">
        <v>26.208200000000001</v>
      </c>
      <c r="AG4" s="1">
        <v>150.387</v>
      </c>
      <c r="AH4" s="1">
        <v>1.9637100000000001</v>
      </c>
      <c r="AI4" s="1">
        <v>11.7677</v>
      </c>
      <c r="AJ4" s="1">
        <v>0.53555600000000003</v>
      </c>
      <c r="AK4" s="1">
        <v>0</v>
      </c>
      <c r="AL4" s="1">
        <v>4.5685900000000004</v>
      </c>
      <c r="AM4" s="1">
        <v>0</v>
      </c>
      <c r="AN4" s="1">
        <v>5.6027699999999996</v>
      </c>
      <c r="AO4" s="1">
        <v>5.0700200000000004</v>
      </c>
      <c r="AP4" s="1">
        <v>90.021199999999993</v>
      </c>
      <c r="AQ4" s="1">
        <v>5.2232099999999999</v>
      </c>
      <c r="AR4" s="1">
        <v>0</v>
      </c>
      <c r="AS4" s="1">
        <v>20.723199999999999</v>
      </c>
      <c r="AT4" s="1">
        <v>0</v>
      </c>
      <c r="AU4" s="1">
        <v>11.8805</v>
      </c>
      <c r="AV4" s="1">
        <v>1.36208</v>
      </c>
      <c r="AW4" s="1">
        <v>49.069200000000002</v>
      </c>
      <c r="AX4" s="1">
        <v>9.2564299999999999</v>
      </c>
      <c r="AY4" s="1">
        <v>0</v>
      </c>
      <c r="AZ4" s="1">
        <v>5.1152699999999998</v>
      </c>
      <c r="BA4" s="1">
        <v>42.642499999999998</v>
      </c>
      <c r="BB4" s="12">
        <v>13.893800000000001</v>
      </c>
    </row>
    <row r="5" spans="1:54" x14ac:dyDescent="0.3">
      <c r="A5" s="20">
        <v>4</v>
      </c>
      <c r="B5" s="24">
        <v>42558</v>
      </c>
      <c r="C5" s="1">
        <v>7</v>
      </c>
      <c r="D5" s="1">
        <v>9.3131500000000003</v>
      </c>
      <c r="E5" s="1">
        <v>1.2573700000000001</v>
      </c>
      <c r="F5" s="1">
        <v>140.63999999999999</v>
      </c>
      <c r="G5" s="1">
        <v>1.06911</v>
      </c>
      <c r="H5" s="1">
        <v>1.39316</v>
      </c>
      <c r="I5" s="1">
        <v>153.95699999999999</v>
      </c>
      <c r="J5" s="1">
        <v>1.8545</v>
      </c>
      <c r="K5" s="1">
        <v>0.52382899999999999</v>
      </c>
      <c r="L5" s="1">
        <v>15.143000000000001</v>
      </c>
      <c r="M5" s="1">
        <v>4.6303200000000002</v>
      </c>
      <c r="N5" s="1">
        <v>1.8810500000000001</v>
      </c>
      <c r="O5" s="1">
        <v>1.80888</v>
      </c>
      <c r="P5" s="1">
        <v>925.77200000000005</v>
      </c>
      <c r="Q5" s="25">
        <v>4183.9399999999996</v>
      </c>
      <c r="R5" s="1">
        <v>34.016800000000003</v>
      </c>
      <c r="S5" s="1">
        <v>9.3561999999999994</v>
      </c>
      <c r="T5" s="1">
        <v>397.88600000000002</v>
      </c>
      <c r="U5" s="1">
        <v>170.99700000000001</v>
      </c>
      <c r="V5" s="1">
        <v>94.034499999999994</v>
      </c>
      <c r="W5" s="1">
        <v>0</v>
      </c>
      <c r="X5" s="1">
        <v>0</v>
      </c>
      <c r="Y5" s="1">
        <v>5.4026899999999998</v>
      </c>
      <c r="Z5" s="1">
        <v>469.85899999999998</v>
      </c>
      <c r="AA5" s="25">
        <v>1624.15</v>
      </c>
      <c r="AB5" s="1">
        <v>0</v>
      </c>
      <c r="AC5" s="1">
        <v>1.9323999999999999</v>
      </c>
      <c r="AD5" s="1">
        <v>0</v>
      </c>
      <c r="AE5" s="1">
        <v>49.529699999999998</v>
      </c>
      <c r="AF5" s="1">
        <v>26.276</v>
      </c>
      <c r="AG5" s="1">
        <v>150.37799999999999</v>
      </c>
      <c r="AH5" s="1">
        <v>1.9509300000000001</v>
      </c>
      <c r="AI5" s="1">
        <v>11.7919</v>
      </c>
      <c r="AJ5" s="1">
        <v>0.53566999999999998</v>
      </c>
      <c r="AK5" s="1">
        <v>0</v>
      </c>
      <c r="AL5" s="1">
        <v>4.5723500000000001</v>
      </c>
      <c r="AM5" s="1">
        <v>65.339399999999998</v>
      </c>
      <c r="AN5" s="1">
        <v>5.5776500000000002</v>
      </c>
      <c r="AO5" s="1">
        <v>5.0711000000000004</v>
      </c>
      <c r="AP5" s="1">
        <v>89.232299999999995</v>
      </c>
      <c r="AQ5" s="1">
        <v>5.2243599999999999</v>
      </c>
      <c r="AR5" s="1">
        <v>1.8810500000000001</v>
      </c>
      <c r="AS5" s="1">
        <v>20.428799999999999</v>
      </c>
      <c r="AT5" s="1">
        <v>202.351</v>
      </c>
      <c r="AU5" s="1">
        <v>11.9192</v>
      </c>
      <c r="AV5" s="1">
        <v>1.3609800000000001</v>
      </c>
      <c r="AW5" s="1">
        <v>49.029499999999999</v>
      </c>
      <c r="AX5" s="1">
        <v>0</v>
      </c>
      <c r="AY5" s="1">
        <v>0</v>
      </c>
      <c r="AZ5" s="1">
        <v>5.1163699999999999</v>
      </c>
      <c r="BA5" s="1">
        <v>42.4176</v>
      </c>
      <c r="BB5" s="12">
        <v>13.896800000000001</v>
      </c>
    </row>
    <row r="6" spans="1:54" x14ac:dyDescent="0.3">
      <c r="A6" s="20">
        <v>5</v>
      </c>
      <c r="B6" s="24">
        <v>42559</v>
      </c>
      <c r="C6" s="1">
        <v>8</v>
      </c>
      <c r="D6" s="1">
        <v>9.3134999999999994</v>
      </c>
      <c r="E6" s="1">
        <v>1.25797</v>
      </c>
      <c r="F6" s="1">
        <v>140.51</v>
      </c>
      <c r="G6" s="1">
        <v>1.0726100000000001</v>
      </c>
      <c r="H6" s="1">
        <v>1.3925700000000001</v>
      </c>
      <c r="I6" s="1">
        <v>154.06200000000001</v>
      </c>
      <c r="J6" s="1">
        <v>1.8597399999999999</v>
      </c>
      <c r="K6" s="1">
        <v>0.52360700000000004</v>
      </c>
      <c r="L6" s="1">
        <v>15.120200000000001</v>
      </c>
      <c r="M6" s="1">
        <v>4.6486799999999997</v>
      </c>
      <c r="N6" s="1">
        <v>1.87914</v>
      </c>
      <c r="O6" s="1">
        <v>1.8205100000000001</v>
      </c>
      <c r="P6" s="1">
        <v>924.75300000000004</v>
      </c>
      <c r="Q6" s="25">
        <v>4158.8999999999996</v>
      </c>
      <c r="R6" s="1">
        <v>34.007899999999999</v>
      </c>
      <c r="S6" s="1">
        <v>9.3608399999999996</v>
      </c>
      <c r="T6" s="1">
        <v>396.005</v>
      </c>
      <c r="U6" s="1">
        <v>171.14699999999999</v>
      </c>
      <c r="V6" s="1">
        <v>93.940799999999996</v>
      </c>
      <c r="W6" s="1">
        <v>0</v>
      </c>
      <c r="X6" s="1">
        <v>0</v>
      </c>
      <c r="Y6" s="1">
        <v>5.4059600000000003</v>
      </c>
      <c r="Z6" s="1">
        <v>471.32900000000001</v>
      </c>
      <c r="AA6" s="25">
        <v>1610.65</v>
      </c>
      <c r="AB6" s="1">
        <v>0</v>
      </c>
      <c r="AC6" s="1">
        <v>1.9323999999999999</v>
      </c>
      <c r="AD6" s="1">
        <v>5.6294599999999999</v>
      </c>
      <c r="AE6" s="1">
        <v>49.449599999999997</v>
      </c>
      <c r="AF6" s="1">
        <v>25.900600000000001</v>
      </c>
      <c r="AG6" s="1">
        <v>150.17500000000001</v>
      </c>
      <c r="AH6" s="1">
        <v>1.9152400000000001</v>
      </c>
      <c r="AI6" s="1">
        <v>11.8161</v>
      </c>
      <c r="AJ6" s="1">
        <v>0.53544400000000003</v>
      </c>
      <c r="AK6" s="1">
        <v>0</v>
      </c>
      <c r="AL6" s="1">
        <v>4.5634600000000001</v>
      </c>
      <c r="AM6" s="1">
        <v>65.506799999999998</v>
      </c>
      <c r="AN6" s="1">
        <v>5.5704099999999999</v>
      </c>
      <c r="AO6" s="1">
        <v>5.0689599999999997</v>
      </c>
      <c r="AP6" s="1">
        <v>89.471000000000004</v>
      </c>
      <c r="AQ6" s="1">
        <v>5.2221500000000001</v>
      </c>
      <c r="AR6" s="1">
        <v>1.87914</v>
      </c>
      <c r="AS6" s="1">
        <v>20.606300000000001</v>
      </c>
      <c r="AT6" s="1">
        <v>202.27099999999999</v>
      </c>
      <c r="AU6" s="1">
        <v>11.932700000000001</v>
      </c>
      <c r="AV6" s="1">
        <v>1.3647199999999999</v>
      </c>
      <c r="AW6" s="1">
        <v>49.040799999999997</v>
      </c>
      <c r="AX6" s="1">
        <v>9.2643199999999997</v>
      </c>
      <c r="AY6" s="1">
        <v>0</v>
      </c>
      <c r="AZ6" s="1">
        <v>5.1142300000000001</v>
      </c>
      <c r="BA6" s="1">
        <v>42.206000000000003</v>
      </c>
      <c r="BB6" s="12">
        <v>13.8909</v>
      </c>
    </row>
    <row r="7" spans="1:54" x14ac:dyDescent="0.3">
      <c r="A7" s="20">
        <v>6</v>
      </c>
      <c r="B7" s="24">
        <v>42562</v>
      </c>
      <c r="C7" s="1">
        <v>11</v>
      </c>
      <c r="D7" s="1">
        <v>9.2940299999999993</v>
      </c>
      <c r="E7" s="1">
        <v>1.25769</v>
      </c>
      <c r="F7" s="1">
        <v>139.96199999999999</v>
      </c>
      <c r="G7" s="1">
        <v>1.0705</v>
      </c>
      <c r="H7" s="1">
        <v>1.3896200000000001</v>
      </c>
      <c r="I7" s="1">
        <v>153.74199999999999</v>
      </c>
      <c r="J7" s="1">
        <v>1.83836</v>
      </c>
      <c r="K7" s="1">
        <v>0.52249599999999996</v>
      </c>
      <c r="L7" s="1">
        <v>15.0067</v>
      </c>
      <c r="M7" s="1">
        <v>4.5804499999999999</v>
      </c>
      <c r="N7" s="1">
        <v>1.87001</v>
      </c>
      <c r="O7" s="1">
        <v>1.8241499999999999</v>
      </c>
      <c r="P7" s="1">
        <v>919.23599999999999</v>
      </c>
      <c r="Q7" s="25">
        <v>4103.04</v>
      </c>
      <c r="R7" s="1">
        <v>33.987200000000001</v>
      </c>
      <c r="S7" s="1">
        <v>9.3536599999999996</v>
      </c>
      <c r="T7" s="1">
        <v>395.416</v>
      </c>
      <c r="U7" s="1">
        <v>170.89500000000001</v>
      </c>
      <c r="V7" s="1">
        <v>93.302700000000002</v>
      </c>
      <c r="W7" s="25">
        <v>18220.7</v>
      </c>
      <c r="X7" s="25">
        <v>42869.7</v>
      </c>
      <c r="Y7" s="1">
        <v>5.3959000000000001</v>
      </c>
      <c r="Z7" s="1">
        <v>0</v>
      </c>
      <c r="AA7" s="25">
        <v>1610.85</v>
      </c>
      <c r="AB7" s="1">
        <v>0.41938700000000001</v>
      </c>
      <c r="AC7" s="1">
        <v>1.9323999999999999</v>
      </c>
      <c r="AD7" s="1">
        <v>5.5383300000000002</v>
      </c>
      <c r="AE7" s="1">
        <v>49.368600000000001</v>
      </c>
      <c r="AF7" s="1">
        <v>25.651900000000001</v>
      </c>
      <c r="AG7" s="1">
        <v>149.78700000000001</v>
      </c>
      <c r="AH7" s="1">
        <v>1.90724</v>
      </c>
      <c r="AI7" s="1">
        <v>11.83</v>
      </c>
      <c r="AJ7" s="1">
        <v>0.53430800000000001</v>
      </c>
      <c r="AK7" s="1">
        <v>145.72200000000001</v>
      </c>
      <c r="AL7" s="1">
        <v>0</v>
      </c>
      <c r="AM7" s="1">
        <v>65.444199999999995</v>
      </c>
      <c r="AN7" s="1">
        <v>5.5668100000000003</v>
      </c>
      <c r="AO7" s="1">
        <v>5.0582200000000004</v>
      </c>
      <c r="AP7" s="1">
        <v>89.217200000000005</v>
      </c>
      <c r="AQ7" s="1">
        <v>5.2110700000000003</v>
      </c>
      <c r="AR7" s="1">
        <v>1.87001</v>
      </c>
      <c r="AS7" s="1">
        <v>20.077300000000001</v>
      </c>
      <c r="AT7" s="1">
        <v>201.84200000000001</v>
      </c>
      <c r="AU7" s="1">
        <v>11.943899999999999</v>
      </c>
      <c r="AV7" s="1">
        <v>1.3664099999999999</v>
      </c>
      <c r="AW7" s="1">
        <v>48.795000000000002</v>
      </c>
      <c r="AX7" s="1">
        <v>9.2374500000000008</v>
      </c>
      <c r="AY7" s="1">
        <v>3.0706799999999999</v>
      </c>
      <c r="AZ7" s="1">
        <v>5.10337</v>
      </c>
      <c r="BA7" s="1">
        <v>0</v>
      </c>
      <c r="BB7" s="12">
        <v>13.8614</v>
      </c>
    </row>
    <row r="8" spans="1:54" x14ac:dyDescent="0.3">
      <c r="A8" s="20">
        <v>7</v>
      </c>
      <c r="B8" s="24">
        <v>42563</v>
      </c>
      <c r="C8" s="1">
        <v>12</v>
      </c>
      <c r="D8" s="1">
        <v>9.3102099999999997</v>
      </c>
      <c r="E8" s="1">
        <v>1.2548999999999999</v>
      </c>
      <c r="F8" s="1">
        <v>143.369</v>
      </c>
      <c r="G8" s="1">
        <v>1.05762</v>
      </c>
      <c r="H8" s="1">
        <v>1.39194</v>
      </c>
      <c r="I8" s="1">
        <v>153.869</v>
      </c>
      <c r="J8" s="1">
        <v>1.83439</v>
      </c>
      <c r="K8" s="1">
        <v>0.52336800000000006</v>
      </c>
      <c r="L8" s="1">
        <v>14.951000000000001</v>
      </c>
      <c r="M8" s="1">
        <v>4.5968799999999996</v>
      </c>
      <c r="N8" s="1">
        <v>1.8791100000000001</v>
      </c>
      <c r="O8" s="1">
        <v>1.8117399999999999</v>
      </c>
      <c r="P8" s="1">
        <v>915.66700000000003</v>
      </c>
      <c r="Q8" s="25">
        <v>4078.1</v>
      </c>
      <c r="R8" s="1">
        <v>0</v>
      </c>
      <c r="S8" s="1">
        <v>9.3337599999999998</v>
      </c>
      <c r="T8" s="1">
        <v>392.45699999999999</v>
      </c>
      <c r="U8" s="1">
        <v>170.47</v>
      </c>
      <c r="V8" s="1">
        <v>93.464100000000002</v>
      </c>
      <c r="W8" s="25">
        <v>18305.3</v>
      </c>
      <c r="X8" s="25">
        <v>42939.8</v>
      </c>
      <c r="Y8" s="1">
        <v>5.3923500000000004</v>
      </c>
      <c r="Z8" s="1">
        <v>0</v>
      </c>
      <c r="AA8" s="25">
        <v>1597.66</v>
      </c>
      <c r="AB8" s="1">
        <v>0.42036400000000002</v>
      </c>
      <c r="AC8" s="1">
        <v>1.9323999999999999</v>
      </c>
      <c r="AD8" s="1">
        <v>0</v>
      </c>
      <c r="AE8" s="1">
        <v>49.450800000000001</v>
      </c>
      <c r="AF8" s="1">
        <v>25.473199999999999</v>
      </c>
      <c r="AG8" s="1">
        <v>149.59100000000001</v>
      </c>
      <c r="AH8" s="1">
        <v>1.9207099999999999</v>
      </c>
      <c r="AI8" s="1">
        <v>11.7332</v>
      </c>
      <c r="AJ8" s="1">
        <v>0.53520000000000001</v>
      </c>
      <c r="AK8" s="1">
        <v>145.91900000000001</v>
      </c>
      <c r="AL8" s="1">
        <v>0</v>
      </c>
      <c r="AM8" s="1">
        <v>65.647800000000004</v>
      </c>
      <c r="AN8" s="1">
        <v>5.54087</v>
      </c>
      <c r="AO8" s="1">
        <v>5.0666500000000001</v>
      </c>
      <c r="AP8" s="1">
        <v>0</v>
      </c>
      <c r="AQ8" s="1">
        <v>5.2197500000000003</v>
      </c>
      <c r="AR8" s="1">
        <v>1.8791100000000001</v>
      </c>
      <c r="AS8" s="1">
        <v>19.9238</v>
      </c>
      <c r="AT8" s="1">
        <v>202.179</v>
      </c>
      <c r="AU8" s="1">
        <v>11.8614</v>
      </c>
      <c r="AV8" s="1">
        <v>1.3667400000000001</v>
      </c>
      <c r="AW8" s="1">
        <v>48.918199999999999</v>
      </c>
      <c r="AX8" s="1">
        <v>9.2861700000000003</v>
      </c>
      <c r="AY8" s="1">
        <v>3.0790099999999998</v>
      </c>
      <c r="AZ8" s="1">
        <v>5.1118699999999997</v>
      </c>
      <c r="BA8" s="1">
        <v>0</v>
      </c>
      <c r="BB8" s="12">
        <v>13.884499999999999</v>
      </c>
    </row>
    <row r="9" spans="1:54" x14ac:dyDescent="0.3">
      <c r="A9" s="20">
        <v>8</v>
      </c>
      <c r="B9" s="24">
        <v>42564</v>
      </c>
      <c r="C9" s="1">
        <v>13</v>
      </c>
      <c r="D9" s="1">
        <v>9.3134999999999994</v>
      </c>
      <c r="E9" s="1">
        <v>1.2571600000000001</v>
      </c>
      <c r="F9" s="1">
        <v>145.178</v>
      </c>
      <c r="G9" s="1">
        <v>1.0468</v>
      </c>
      <c r="H9" s="1">
        <v>1.3919299999999999</v>
      </c>
      <c r="I9" s="1">
        <v>153.85499999999999</v>
      </c>
      <c r="J9" s="1">
        <v>1.83101</v>
      </c>
      <c r="K9" s="1">
        <v>0.523366</v>
      </c>
      <c r="L9" s="1">
        <v>14.950900000000001</v>
      </c>
      <c r="M9" s="1">
        <v>4.5577399999999999</v>
      </c>
      <c r="N9" s="1">
        <v>1.8760399999999999</v>
      </c>
      <c r="O9" s="1">
        <v>1.80464</v>
      </c>
      <c r="P9" s="1">
        <v>915.64200000000005</v>
      </c>
      <c r="Q9" s="25">
        <v>4053.18</v>
      </c>
      <c r="R9" s="1">
        <v>33.984000000000002</v>
      </c>
      <c r="S9" s="1">
        <v>9.3506</v>
      </c>
      <c r="T9" s="1">
        <v>394.904</v>
      </c>
      <c r="U9" s="1">
        <v>170.13499999999999</v>
      </c>
      <c r="V9" s="1">
        <v>93.544499999999999</v>
      </c>
      <c r="W9" s="25">
        <v>18227.3</v>
      </c>
      <c r="X9" s="25">
        <v>42962</v>
      </c>
      <c r="Y9" s="1">
        <v>5.3881600000000001</v>
      </c>
      <c r="Z9" s="1">
        <v>470.96100000000001</v>
      </c>
      <c r="AA9" s="25">
        <v>1599.74</v>
      </c>
      <c r="AB9" s="1">
        <v>0</v>
      </c>
      <c r="AC9" s="1">
        <v>1.9323999999999999</v>
      </c>
      <c r="AD9" s="1">
        <v>5.5489300000000004</v>
      </c>
      <c r="AE9" s="1">
        <v>49.460599999999999</v>
      </c>
      <c r="AF9" s="1">
        <v>25.602799999999998</v>
      </c>
      <c r="AG9" s="1">
        <v>149.535</v>
      </c>
      <c r="AH9" s="1">
        <v>1.9161999999999999</v>
      </c>
      <c r="AI9" s="1">
        <v>11.709899999999999</v>
      </c>
      <c r="AJ9" s="1">
        <v>0.53519700000000003</v>
      </c>
      <c r="AK9" s="1">
        <v>145.952</v>
      </c>
      <c r="AL9" s="1">
        <v>4.5627500000000003</v>
      </c>
      <c r="AM9" s="1">
        <v>65.969200000000001</v>
      </c>
      <c r="AN9" s="1">
        <v>5.54115</v>
      </c>
      <c r="AO9" s="1">
        <v>5.06663</v>
      </c>
      <c r="AP9" s="1">
        <v>88.879400000000004</v>
      </c>
      <c r="AQ9" s="1">
        <v>5.2197199999999997</v>
      </c>
      <c r="AR9" s="1">
        <v>1.8760399999999999</v>
      </c>
      <c r="AS9" s="1">
        <v>19.927299999999999</v>
      </c>
      <c r="AT9" s="1">
        <v>202.17500000000001</v>
      </c>
      <c r="AU9" s="1">
        <v>11.923400000000001</v>
      </c>
      <c r="AV9" s="1">
        <v>1.37063</v>
      </c>
      <c r="AW9" s="1">
        <v>48.995800000000003</v>
      </c>
      <c r="AX9" s="1">
        <v>9.2900500000000008</v>
      </c>
      <c r="AY9" s="1">
        <v>3.0688399999999998</v>
      </c>
      <c r="AZ9" s="1">
        <v>5.1118699999999997</v>
      </c>
      <c r="BA9" s="1">
        <v>42.164400000000001</v>
      </c>
      <c r="BB9" s="12">
        <v>13.884499999999999</v>
      </c>
    </row>
    <row r="10" spans="1:54" x14ac:dyDescent="0.3">
      <c r="A10" s="20">
        <v>9</v>
      </c>
      <c r="B10" s="24">
        <v>42565</v>
      </c>
      <c r="C10" s="1">
        <v>14</v>
      </c>
      <c r="D10" s="1">
        <v>9.3043200000000006</v>
      </c>
      <c r="E10" s="1">
        <v>1.24695</v>
      </c>
      <c r="F10" s="1">
        <v>144.89500000000001</v>
      </c>
      <c r="G10" s="1">
        <v>1.05236</v>
      </c>
      <c r="H10" s="1">
        <v>1.3912199999999999</v>
      </c>
      <c r="I10" s="1">
        <v>153.76300000000001</v>
      </c>
      <c r="J10" s="1">
        <v>1.8279099999999999</v>
      </c>
      <c r="K10" s="1">
        <v>0.52309700000000003</v>
      </c>
      <c r="L10" s="1">
        <v>14.911199999999999</v>
      </c>
      <c r="M10" s="1">
        <v>4.5757199999999996</v>
      </c>
      <c r="N10" s="1">
        <v>1.8741099999999999</v>
      </c>
      <c r="O10" s="1">
        <v>1.7967599999999999</v>
      </c>
      <c r="P10" s="1">
        <v>915.70100000000002</v>
      </c>
      <c r="Q10" s="25">
        <v>4085.35</v>
      </c>
      <c r="R10" s="1">
        <v>33.716200000000001</v>
      </c>
      <c r="S10" s="1">
        <v>9.2745499999999996</v>
      </c>
      <c r="T10" s="1">
        <v>392.82400000000001</v>
      </c>
      <c r="U10" s="1">
        <v>169.88200000000001</v>
      </c>
      <c r="V10" s="1">
        <v>93.091700000000003</v>
      </c>
      <c r="W10" s="25">
        <v>18208.3</v>
      </c>
      <c r="X10" s="25">
        <v>42938.5</v>
      </c>
      <c r="Y10" s="1">
        <v>5.3589700000000002</v>
      </c>
      <c r="Z10" s="1">
        <v>471.55399999999997</v>
      </c>
      <c r="AA10" s="25">
        <v>1593.92</v>
      </c>
      <c r="AB10" s="1">
        <v>0.41959200000000002</v>
      </c>
      <c r="AC10" s="1">
        <v>1.9323999999999999</v>
      </c>
      <c r="AD10" s="1">
        <v>5.5085199999999999</v>
      </c>
      <c r="AE10" s="1">
        <v>49.427399999999999</v>
      </c>
      <c r="AF10" s="1">
        <v>25.4678</v>
      </c>
      <c r="AG10" s="1">
        <v>149.44499999999999</v>
      </c>
      <c r="AH10" s="1">
        <v>1.9099600000000001</v>
      </c>
      <c r="AI10" s="1">
        <v>11.6274</v>
      </c>
      <c r="AJ10" s="1">
        <v>0.53492200000000001</v>
      </c>
      <c r="AK10" s="1">
        <v>0</v>
      </c>
      <c r="AL10" s="1">
        <v>0</v>
      </c>
      <c r="AM10" s="1">
        <v>65.732399999999998</v>
      </c>
      <c r="AN10" s="1">
        <v>5.5205000000000002</v>
      </c>
      <c r="AO10" s="1">
        <v>5.0640299999999998</v>
      </c>
      <c r="AP10" s="1">
        <v>88.450199999999995</v>
      </c>
      <c r="AQ10" s="1">
        <v>5.2170800000000002</v>
      </c>
      <c r="AR10" s="1">
        <v>1.8741099999999999</v>
      </c>
      <c r="AS10" s="1">
        <v>19.851900000000001</v>
      </c>
      <c r="AT10" s="1">
        <v>202.07400000000001</v>
      </c>
      <c r="AU10" s="1">
        <v>11.809799999999999</v>
      </c>
      <c r="AV10" s="1">
        <v>1.3632599999999999</v>
      </c>
      <c r="AW10" s="1">
        <v>48.887300000000003</v>
      </c>
      <c r="AX10" s="1">
        <v>9.2998999999999992</v>
      </c>
      <c r="AY10" s="1">
        <v>0</v>
      </c>
      <c r="AZ10" s="1">
        <v>5.1092599999999999</v>
      </c>
      <c r="BA10" s="1">
        <v>0</v>
      </c>
      <c r="BB10" s="12">
        <v>13.8774</v>
      </c>
    </row>
    <row r="11" spans="1:54" x14ac:dyDescent="0.3">
      <c r="A11" s="20">
        <v>10</v>
      </c>
      <c r="B11" s="24">
        <v>42566</v>
      </c>
      <c r="C11" s="1">
        <v>15</v>
      </c>
      <c r="D11" s="1">
        <v>9.3153199999999998</v>
      </c>
      <c r="E11" s="1">
        <v>1.2526299999999999</v>
      </c>
      <c r="F11" s="1">
        <v>147.268</v>
      </c>
      <c r="G11" s="1">
        <v>1.0424199999999999</v>
      </c>
      <c r="H11" s="1">
        <v>1.39392</v>
      </c>
      <c r="I11" s="1">
        <v>0</v>
      </c>
      <c r="J11" s="1">
        <v>1.82786</v>
      </c>
      <c r="K11" s="1">
        <v>0.524115</v>
      </c>
      <c r="L11" s="1">
        <v>14.972300000000001</v>
      </c>
      <c r="M11" s="1">
        <v>4.5030599999999996</v>
      </c>
      <c r="N11" s="1">
        <v>1.87246</v>
      </c>
      <c r="O11" s="1">
        <v>1.8086199999999999</v>
      </c>
      <c r="P11" s="1">
        <v>907.33399999999995</v>
      </c>
      <c r="Q11" s="25">
        <v>4074.53</v>
      </c>
      <c r="R11" s="1">
        <v>33.85</v>
      </c>
      <c r="S11" s="1">
        <v>9.3164499999999997</v>
      </c>
      <c r="T11" s="1">
        <v>393.81099999999998</v>
      </c>
      <c r="U11" s="1">
        <v>168.874</v>
      </c>
      <c r="V11" s="1">
        <v>0</v>
      </c>
      <c r="W11" s="25">
        <v>18240.900000000001</v>
      </c>
      <c r="X11" s="1">
        <v>0</v>
      </c>
      <c r="Y11" s="1">
        <v>5.3582200000000002</v>
      </c>
      <c r="Z11" s="1">
        <v>471.87200000000001</v>
      </c>
      <c r="AA11" s="25">
        <v>1591.58</v>
      </c>
      <c r="AB11" s="1">
        <v>0.42040699999999998</v>
      </c>
      <c r="AC11" s="1">
        <v>1.9323999999999999</v>
      </c>
      <c r="AD11" s="1">
        <v>5.5178500000000001</v>
      </c>
      <c r="AE11" s="1">
        <v>0</v>
      </c>
      <c r="AF11" s="1">
        <v>25.776399999999999</v>
      </c>
      <c r="AG11" s="1">
        <v>149.19200000000001</v>
      </c>
      <c r="AH11" s="1">
        <v>1.9492700000000001</v>
      </c>
      <c r="AI11" s="1">
        <v>11.6723</v>
      </c>
      <c r="AJ11" s="1">
        <v>0.53596299999999997</v>
      </c>
      <c r="AK11" s="1">
        <v>146.154</v>
      </c>
      <c r="AL11" s="1">
        <v>4.5664800000000003</v>
      </c>
      <c r="AM11" s="1">
        <v>65.652600000000007</v>
      </c>
      <c r="AN11" s="1">
        <v>5.5196500000000004</v>
      </c>
      <c r="AO11" s="1">
        <v>5.0738799999999999</v>
      </c>
      <c r="AP11" s="1">
        <v>88.053700000000006</v>
      </c>
      <c r="AQ11" s="1">
        <v>5.2271999999999998</v>
      </c>
      <c r="AR11" s="1">
        <v>1.87246</v>
      </c>
      <c r="AS11" s="1">
        <v>20.004000000000001</v>
      </c>
      <c r="AT11" s="1">
        <v>202.46700000000001</v>
      </c>
      <c r="AU11" s="1">
        <v>11.8409</v>
      </c>
      <c r="AV11" s="1">
        <v>1.3645099999999999</v>
      </c>
      <c r="AW11" s="1">
        <v>48.7607</v>
      </c>
      <c r="AX11" s="1">
        <v>9.3143700000000003</v>
      </c>
      <c r="AY11" s="1">
        <v>0</v>
      </c>
      <c r="AZ11" s="1">
        <v>5.1191700000000004</v>
      </c>
      <c r="BA11" s="1">
        <v>42.026699999999998</v>
      </c>
      <c r="BB11" s="12">
        <v>13.904400000000001</v>
      </c>
    </row>
    <row r="12" spans="1:54" x14ac:dyDescent="0.3">
      <c r="A12" s="21">
        <v>11</v>
      </c>
      <c r="B12" s="29">
        <v>42569</v>
      </c>
      <c r="C12" s="22">
        <v>18</v>
      </c>
      <c r="D12" s="22">
        <v>9.3035399999999999</v>
      </c>
      <c r="E12" s="22">
        <v>1.2565200000000001</v>
      </c>
      <c r="F12" s="22">
        <v>0</v>
      </c>
      <c r="G12" s="22">
        <v>1.04952</v>
      </c>
      <c r="H12" s="22">
        <v>1.38883</v>
      </c>
      <c r="I12" s="22">
        <v>153.648</v>
      </c>
      <c r="J12" s="22">
        <v>1.82741</v>
      </c>
      <c r="K12" s="22">
        <v>0.52220100000000003</v>
      </c>
      <c r="L12" s="22">
        <v>0</v>
      </c>
      <c r="M12" s="22">
        <v>4.5345300000000002</v>
      </c>
      <c r="N12" s="22">
        <v>1.8734</v>
      </c>
      <c r="O12" s="22">
        <v>1.8032600000000001</v>
      </c>
      <c r="P12" s="22">
        <v>903.54600000000005</v>
      </c>
      <c r="Q12" s="30">
        <v>4060.19</v>
      </c>
      <c r="R12" s="22">
        <v>33.9514</v>
      </c>
      <c r="S12" s="22">
        <v>9.3468400000000003</v>
      </c>
      <c r="T12" s="22">
        <v>396.12299999999999</v>
      </c>
      <c r="U12" s="22">
        <v>169.47900000000001</v>
      </c>
      <c r="V12" s="22">
        <v>93.192300000000003</v>
      </c>
      <c r="W12" s="30">
        <v>18210.400000000001</v>
      </c>
      <c r="X12" s="30">
        <v>42891.199999999997</v>
      </c>
      <c r="Y12" s="22">
        <v>5.3609</v>
      </c>
      <c r="Z12" s="22">
        <v>470.64800000000002</v>
      </c>
      <c r="AA12" s="30">
        <v>1573.13</v>
      </c>
      <c r="AB12" s="22">
        <v>0.41977500000000001</v>
      </c>
      <c r="AC12" s="22">
        <v>1.9323999999999999</v>
      </c>
      <c r="AD12" s="22">
        <v>5.5254700000000003</v>
      </c>
      <c r="AE12" s="22">
        <v>49.261099999999999</v>
      </c>
      <c r="AF12" s="22">
        <v>25.676600000000001</v>
      </c>
      <c r="AG12" s="22">
        <v>149.036</v>
      </c>
      <c r="AH12" s="22">
        <v>1.95886</v>
      </c>
      <c r="AI12" s="22">
        <v>11.7644</v>
      </c>
      <c r="AJ12" s="22">
        <v>0.53400499999999995</v>
      </c>
      <c r="AK12" s="22">
        <v>145.626</v>
      </c>
      <c r="AL12" s="22">
        <v>4.5484299999999998</v>
      </c>
      <c r="AM12" s="22">
        <v>65.104200000000006</v>
      </c>
      <c r="AN12" s="22">
        <v>5.5349199999999996</v>
      </c>
      <c r="AO12" s="22">
        <v>5.0553600000000003</v>
      </c>
      <c r="AP12" s="22">
        <v>87.656199999999998</v>
      </c>
      <c r="AQ12" s="22">
        <v>5.2081200000000001</v>
      </c>
      <c r="AR12" s="22">
        <v>1.8734</v>
      </c>
      <c r="AS12" s="22">
        <v>19.855599999999999</v>
      </c>
      <c r="AT12" s="22">
        <v>201.72800000000001</v>
      </c>
      <c r="AU12" s="22">
        <v>0</v>
      </c>
      <c r="AV12" s="22">
        <v>1.3664700000000001</v>
      </c>
      <c r="AW12" s="22">
        <v>0</v>
      </c>
      <c r="AX12" s="22">
        <v>9.2851400000000002</v>
      </c>
      <c r="AY12" s="22">
        <v>3.0682200000000002</v>
      </c>
      <c r="AZ12" s="22">
        <v>5.1004800000000001</v>
      </c>
      <c r="BA12" s="22">
        <v>0</v>
      </c>
      <c r="BB12" s="23">
        <v>13.8536</v>
      </c>
    </row>
    <row r="13" spans="1:54" x14ac:dyDescent="0.3">
      <c r="A13" s="21">
        <v>12</v>
      </c>
      <c r="B13" s="29">
        <v>42401</v>
      </c>
      <c r="C13" s="22">
        <v>3</v>
      </c>
      <c r="D13" s="22">
        <v>2.3199999999999998</v>
      </c>
      <c r="E13" s="22">
        <v>1.23</v>
      </c>
      <c r="F13" s="22">
        <v>223.12</v>
      </c>
      <c r="G13" s="22">
        <v>42.23</v>
      </c>
      <c r="H13" s="22">
        <v>2.31</v>
      </c>
      <c r="I13" s="22"/>
      <c r="J13" s="22">
        <v>3.23</v>
      </c>
      <c r="K13" s="22"/>
      <c r="L13" s="22"/>
      <c r="M13" s="22"/>
      <c r="N13" s="22"/>
      <c r="O13" s="22"/>
      <c r="P13" s="22"/>
      <c r="Q13" s="30"/>
      <c r="R13" s="22"/>
      <c r="S13" s="22"/>
      <c r="T13" s="22"/>
      <c r="U13" s="22"/>
      <c r="V13" s="22">
        <v>1.56</v>
      </c>
      <c r="W13" s="30"/>
      <c r="X13" s="30"/>
      <c r="Y13" s="22"/>
      <c r="Z13" s="22"/>
      <c r="AA13" s="30"/>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3"/>
    </row>
    <row r="14" spans="1:54" x14ac:dyDescent="0.3">
      <c r="A14" s="21">
        <v>13</v>
      </c>
      <c r="B14" s="29">
        <v>42768</v>
      </c>
      <c r="C14" s="22">
        <v>4</v>
      </c>
      <c r="D14" s="22">
        <v>2.323</v>
      </c>
      <c r="E14" s="22">
        <v>1.2230000000000001</v>
      </c>
      <c r="F14" s="22">
        <v>4.34</v>
      </c>
      <c r="G14" s="22">
        <v>2.54</v>
      </c>
      <c r="H14" s="22">
        <v>323.22000000000003</v>
      </c>
      <c r="I14" s="22"/>
      <c r="J14" s="22">
        <v>2.3199999999999998</v>
      </c>
      <c r="K14" s="22"/>
      <c r="L14" s="22"/>
      <c r="M14" s="22"/>
      <c r="N14" s="22"/>
      <c r="O14" s="22"/>
      <c r="P14" s="22"/>
      <c r="Q14" s="30"/>
      <c r="R14" s="22"/>
      <c r="S14" s="22"/>
      <c r="T14" s="22"/>
      <c r="U14" s="22"/>
      <c r="V14" s="22">
        <v>11.23</v>
      </c>
      <c r="W14" s="30"/>
      <c r="X14" s="30"/>
      <c r="Y14" s="22"/>
      <c r="Z14" s="22"/>
      <c r="AA14" s="30"/>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3"/>
    </row>
  </sheetData>
  <pageMargins left="0.7" right="0.7" top="0.75" bottom="0.75" header="0.3" footer="0.3"/>
  <pageSetup paperSize="9"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F16F7-E3DD-4758-80FA-A8C4816CE7E5}">
  <dimension ref="A2:C9"/>
  <sheetViews>
    <sheetView workbookViewId="0">
      <selection activeCell="K21" sqref="K21"/>
    </sheetView>
  </sheetViews>
  <sheetFormatPr defaultRowHeight="14.4" x14ac:dyDescent="0.3"/>
  <cols>
    <col min="1" max="1" width="23.21875" bestFit="1" customWidth="1"/>
    <col min="2" max="2" width="6.77734375" bestFit="1" customWidth="1"/>
    <col min="3" max="3" width="7.77734375" bestFit="1" customWidth="1"/>
    <col min="4" max="4" width="10.77734375" bestFit="1" customWidth="1"/>
    <col min="5" max="7" width="7.77734375" bestFit="1" customWidth="1"/>
    <col min="8" max="13" width="8.21875" bestFit="1" customWidth="1"/>
    <col min="14" max="14" width="8.109375" bestFit="1" customWidth="1"/>
    <col min="15" max="15" width="10.77734375" bestFit="1" customWidth="1"/>
  </cols>
  <sheetData>
    <row r="2" spans="1:3" x14ac:dyDescent="0.3">
      <c r="B2" t="s">
        <v>86</v>
      </c>
      <c r="C2" t="s">
        <v>87</v>
      </c>
    </row>
    <row r="3" spans="1:3" x14ac:dyDescent="0.3">
      <c r="A3" s="33" t="s">
        <v>97</v>
      </c>
      <c r="B3" s="34">
        <v>1.23</v>
      </c>
      <c r="C3" s="34">
        <v>1.25797</v>
      </c>
    </row>
    <row r="4" spans="1:3" x14ac:dyDescent="0.3">
      <c r="A4" s="33" t="s">
        <v>96</v>
      </c>
      <c r="B4" s="34">
        <v>2.323</v>
      </c>
      <c r="C4" s="34">
        <v>9.3169699999999995</v>
      </c>
    </row>
    <row r="5" spans="1:3" x14ac:dyDescent="0.3">
      <c r="A5" s="33" t="s">
        <v>98</v>
      </c>
      <c r="B5" s="34">
        <v>223.12</v>
      </c>
      <c r="C5" s="34">
        <v>147.268</v>
      </c>
    </row>
    <row r="6" spans="1:3" x14ac:dyDescent="0.3">
      <c r="A6" s="33" t="s">
        <v>99</v>
      </c>
      <c r="B6" s="34">
        <v>42.23</v>
      </c>
      <c r="C6" s="34">
        <v>1.073</v>
      </c>
    </row>
    <row r="7" spans="1:3" x14ac:dyDescent="0.3">
      <c r="A7" s="33" t="s">
        <v>100</v>
      </c>
      <c r="B7" s="34">
        <v>323.22000000000003</v>
      </c>
      <c r="C7" s="34">
        <v>1.3968400000000001</v>
      </c>
    </row>
    <row r="8" spans="1:3" x14ac:dyDescent="0.3">
      <c r="A8" s="33" t="s">
        <v>101</v>
      </c>
      <c r="B8" s="34">
        <v>11.23</v>
      </c>
      <c r="C8" s="34">
        <v>94.151300000000006</v>
      </c>
    </row>
    <row r="9" spans="1:3" x14ac:dyDescent="0.3">
      <c r="A9" s="33" t="s">
        <v>102</v>
      </c>
      <c r="B9" s="34">
        <v>3.23</v>
      </c>
      <c r="C9" s="34">
        <v>1.87313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10EF4-C886-4FB8-BA92-7F4AC5903EB4}">
  <sheetPr codeName="Sheet8"/>
  <dimension ref="B1:K12"/>
  <sheetViews>
    <sheetView showGridLines="0" zoomScaleNormal="100" workbookViewId="0">
      <selection activeCell="F2" sqref="F2"/>
    </sheetView>
  </sheetViews>
  <sheetFormatPr defaultRowHeight="14.4" x14ac:dyDescent="0.3"/>
  <cols>
    <col min="2" max="2" width="19.21875" bestFit="1" customWidth="1"/>
    <col min="3" max="3" width="17.21875" bestFit="1" customWidth="1"/>
    <col min="4" max="4" width="16.6640625" bestFit="1" customWidth="1"/>
    <col min="5" max="5" width="13.109375" bestFit="1" customWidth="1"/>
    <col min="6" max="6" width="6.88671875" customWidth="1"/>
    <col min="7" max="7" width="13.6640625" customWidth="1"/>
    <col min="8" max="8" width="18.109375" customWidth="1"/>
    <col min="9" max="9" width="11.5546875" customWidth="1"/>
    <col min="10" max="10" width="16.21875" customWidth="1"/>
    <col min="11" max="11" width="13.6640625" customWidth="1"/>
  </cols>
  <sheetData>
    <row r="1" spans="2:11" ht="15" thickBot="1" x14ac:dyDescent="0.35"/>
    <row r="2" spans="2:11" ht="15" thickBot="1" x14ac:dyDescent="0.35">
      <c r="B2" s="58" t="s">
        <v>71</v>
      </c>
      <c r="C2" s="59"/>
      <c r="D2" s="15">
        <v>8</v>
      </c>
    </row>
    <row r="4" spans="2:11" x14ac:dyDescent="0.3">
      <c r="B4" s="53" t="s">
        <v>70</v>
      </c>
      <c r="C4" s="54"/>
      <c r="D4" s="55"/>
      <c r="E4" s="56" t="s">
        <v>75</v>
      </c>
      <c r="F4" s="57"/>
      <c r="G4" s="57"/>
      <c r="H4" s="57"/>
      <c r="I4" s="57"/>
      <c r="J4" s="57"/>
      <c r="K4" s="57"/>
    </row>
    <row r="5" spans="2:11" x14ac:dyDescent="0.3">
      <c r="B5" s="14" t="s">
        <v>72</v>
      </c>
      <c r="C5" s="14" t="s">
        <v>73</v>
      </c>
      <c r="D5" s="14" t="s">
        <v>74</v>
      </c>
      <c r="E5" s="13" t="s">
        <v>69</v>
      </c>
      <c r="F5" s="13" t="s">
        <v>26</v>
      </c>
      <c r="G5" s="13" t="s">
        <v>27</v>
      </c>
      <c r="H5" s="13" t="s">
        <v>28</v>
      </c>
      <c r="I5" s="13" t="s">
        <v>29</v>
      </c>
      <c r="J5" s="13" t="s">
        <v>30</v>
      </c>
      <c r="K5" s="13" t="s">
        <v>37</v>
      </c>
    </row>
    <row r="6" spans="2:11" x14ac:dyDescent="0.3">
      <c r="B6" s="13" t="s">
        <v>69</v>
      </c>
      <c r="C6" s="32">
        <f>VLOOKUP($D$2,Table2[[#All],[Day]:[Bolivar Fuerte]],2,0)</f>
        <v>9.3134999999999994</v>
      </c>
      <c r="D6" s="32">
        <f>AVERAGE(Database!D:D)</f>
        <v>8.2336269230769226</v>
      </c>
      <c r="E6" s="31">
        <f>CORREL(Database!$D:$D,Database!D:D)</f>
        <v>0.99999999999999989</v>
      </c>
      <c r="F6" s="31">
        <f>CORREL(Database!$D:$D,Database!E:E)</f>
        <v>0.95565984166692419</v>
      </c>
      <c r="G6" s="31">
        <f>CORREL(Database!$D:$D,Database!F:F)</f>
        <v>0.10157557044669276</v>
      </c>
      <c r="H6" s="31">
        <f>CORREL(Database!$D:$D,Database!G:G)</f>
        <v>-0.70317796104349928</v>
      </c>
      <c r="I6" s="31">
        <f>CORREL(Database!$D:$D,Database!H:H)</f>
        <v>-0.67891741619770085</v>
      </c>
      <c r="J6" s="31">
        <f>CORREL(Database!$D:$D,Database!J:J)</f>
        <v>-0.88206416678637845</v>
      </c>
      <c r="K6" s="31">
        <f>CORREL(Database!$D:$D,Database!V:V)</f>
        <v>0.60473229935854922</v>
      </c>
    </row>
    <row r="7" spans="2:11" x14ac:dyDescent="0.3">
      <c r="B7" s="13" t="s">
        <v>26</v>
      </c>
      <c r="C7" s="32">
        <f>VLOOKUP($D$2,Table2[[#All],[Day]:[Bolivar Fuerte]],3,0)</f>
        <v>1.25797</v>
      </c>
      <c r="D7" s="32">
        <f>AVERAGE(Database!E:E)</f>
        <v>1.2504169230769231</v>
      </c>
      <c r="E7" s="31">
        <f>CORREL(Database!$E:$E,Database!D:D)</f>
        <v>0.95565984166692419</v>
      </c>
      <c r="F7" s="31">
        <f>CORREL(Database!$E:$E,Database!E:E)</f>
        <v>0.99999999999999989</v>
      </c>
      <c r="G7" s="31">
        <f>CORREL(Database!$E:$E,Database!F:F)</f>
        <v>0.15627696908268021</v>
      </c>
      <c r="H7" s="31">
        <f>CORREL(Database!$E:$E,Database!G:G)</f>
        <v>-0.5802649051491533</v>
      </c>
      <c r="I7" s="31">
        <f>CORREL(Database!$E:$E,Database!H:H)</f>
        <v>-0.7434205428070656</v>
      </c>
      <c r="J7" s="31">
        <f>CORREL(Database!$E:$E,Database!J:J)</f>
        <v>-0.78065543377781954</v>
      </c>
      <c r="K7" s="31">
        <f>CORREL(Database!$E:$E,Database!V:V)</f>
        <v>0.61489371007980553</v>
      </c>
    </row>
    <row r="8" spans="2:11" x14ac:dyDescent="0.3">
      <c r="B8" s="13" t="s">
        <v>27</v>
      </c>
      <c r="C8" s="32">
        <f>VLOOKUP($D$2,Table2[[#All],[Day]:[Bolivar Fuerte]],4,0)</f>
        <v>140.51</v>
      </c>
      <c r="D8" s="32">
        <f>AVERAGE(Database!F:F)</f>
        <v>127.39861538461538</v>
      </c>
      <c r="E8" s="31">
        <f>CORREL(Database!$F:$F,Database!D:D)</f>
        <v>0.10157557044669276</v>
      </c>
      <c r="F8" s="31">
        <f>CORREL(Database!$F:$F,Database!E:E)</f>
        <v>0.15627696908268021</v>
      </c>
      <c r="G8" s="31">
        <f>CORREL(Database!$F:$F,Database!F:F)</f>
        <v>1</v>
      </c>
      <c r="H8" s="31">
        <f>CORREL(Database!$F:$F,Database!G:G)</f>
        <v>0.45952851796504263</v>
      </c>
      <c r="I8" s="31">
        <f>CORREL(Database!$F:$F,Database!H:H)</f>
        <v>-0.6165480665740215</v>
      </c>
      <c r="J8" s="31">
        <f>CORREL(Database!$F:$F,Database!J:J)</f>
        <v>0.26935942825565234</v>
      </c>
      <c r="K8" s="31">
        <f>CORREL(Database!$F:$F,Database!V:V)</f>
        <v>-5.4366038897515831E-2</v>
      </c>
    </row>
    <row r="9" spans="2:11" x14ac:dyDescent="0.3">
      <c r="B9" s="13" t="s">
        <v>28</v>
      </c>
      <c r="C9" s="32">
        <f>VLOOKUP($D$2,Table2[[#All],[Day]:[Bolivar Fuerte]],5,0)</f>
        <v>1.0726100000000001</v>
      </c>
      <c r="D9" s="32">
        <f>AVERAGE(Database!G:G)</f>
        <v>4.3396853846153842</v>
      </c>
      <c r="E9" s="31">
        <f>CORREL(Database!$G:$G,Database!D:D)</f>
        <v>-0.70317796104349928</v>
      </c>
      <c r="F9" s="31">
        <f>CORREL(Database!$G:$G,Database!E:E)</f>
        <v>-0.5802649051491533</v>
      </c>
      <c r="G9" s="31">
        <f>CORREL(Database!$G:$G,Database!F:F)</f>
        <v>0.45952851796504263</v>
      </c>
      <c r="H9" s="31">
        <f>CORREL(Database!$G:$G,Database!G:G)</f>
        <v>1.0000000000000002</v>
      </c>
      <c r="I9" s="31">
        <f>CORREL(Database!$G:$G,Database!H:H)</f>
        <v>-4.4628277893673629E-2</v>
      </c>
      <c r="J9" s="31">
        <f>CORREL(Database!$G:$G,Database!J:J)</f>
        <v>0.95395192031626175</v>
      </c>
      <c r="K9" s="31">
        <f>CORREL(Database!$G:$G,Database!V:V)</f>
        <v>-0.4580634784568271</v>
      </c>
    </row>
    <row r="10" spans="2:11" x14ac:dyDescent="0.3">
      <c r="B10" s="13" t="s">
        <v>29</v>
      </c>
      <c r="C10" s="32">
        <f>VLOOKUP($D$2,Table2[[#All],[Day]:[Bolivar Fuerte]],6,0)</f>
        <v>1.3925700000000001</v>
      </c>
      <c r="D10" s="32">
        <f>AVERAGE(Database!H:H)</f>
        <v>26.219142307692309</v>
      </c>
      <c r="E10" s="31">
        <f>CORREL(Database!$H:$H,Database!D:D)</f>
        <v>-0.67891741619770085</v>
      </c>
      <c r="F10" s="31">
        <f>CORREL(Database!$H:$H,Database!E:E)</f>
        <v>-0.7434205428070656</v>
      </c>
      <c r="G10" s="31">
        <f>CORREL(Database!$H:$H,Database!F:F)</f>
        <v>-0.6165480665740215</v>
      </c>
      <c r="H10" s="31">
        <f>CORREL(Database!$H:$H,Database!G:G)</f>
        <v>-4.4628277893673629E-2</v>
      </c>
      <c r="I10" s="31">
        <f>CORREL(Database!$H:$H,Database!H:H)</f>
        <v>1.0000000000000002</v>
      </c>
      <c r="J10" s="31">
        <f>CORREL(Database!$H:$H,Database!J:J)</f>
        <v>0.2543030912475574</v>
      </c>
      <c r="K10" s="31">
        <f>CORREL(Database!$H:$H,Database!V:V)</f>
        <v>-0.37808614854673134</v>
      </c>
    </row>
    <row r="11" spans="2:11" x14ac:dyDescent="0.3">
      <c r="B11" s="13" t="s">
        <v>30</v>
      </c>
      <c r="C11" s="32">
        <f>VLOOKUP($D$2,Table2[[#All],[Day]:[Bolivar Fuerte]],8,0)</f>
        <v>1.8597399999999999</v>
      </c>
      <c r="D11" s="32">
        <f>AVERAGE(Database!J:J)</f>
        <v>1.9887553846153845</v>
      </c>
      <c r="E11" s="31">
        <f>CORREL(Database!$J:$J,Database!D:D)</f>
        <v>-0.88206416678637845</v>
      </c>
      <c r="F11" s="31">
        <f>CORREL(Database!$J:$J,Database!E:E)</f>
        <v>-0.78065543377781954</v>
      </c>
      <c r="G11" s="31">
        <f>CORREL(Database!$J:$J,Database!F:F)</f>
        <v>0.26935942825565234</v>
      </c>
      <c r="H11" s="31">
        <f>CORREL(Database!$J:$J,Database!G:G)</f>
        <v>0.95395192031626175</v>
      </c>
      <c r="I11" s="31">
        <f>CORREL(Database!$J:$J,Database!H:H)</f>
        <v>0.2543030912475574</v>
      </c>
      <c r="J11" s="31">
        <f>CORREL(Database!$J:$J,Database!J:J)</f>
        <v>1</v>
      </c>
      <c r="K11" s="31">
        <f>CORREL(Database!$J:$J,Database!V:V)</f>
        <v>-0.55954794376640316</v>
      </c>
    </row>
    <row r="12" spans="2:11" x14ac:dyDescent="0.3">
      <c r="B12" s="13" t="s">
        <v>37</v>
      </c>
      <c r="C12" s="32">
        <f>VLOOKUP($D$2,Table2[[#All],[Day]:[Bolivar Fuerte]],20,0)</f>
        <v>93.940799999999996</v>
      </c>
      <c r="D12" s="32">
        <f>AVERAGE(Database!V:V)</f>
        <v>65.819769230769239</v>
      </c>
      <c r="E12" s="31">
        <f>CORREL(Database!$V:$V,Database!D:D)</f>
        <v>0.60473229935854922</v>
      </c>
      <c r="F12" s="31">
        <f>CORREL(Database!$V:$V,Database!E:E)</f>
        <v>0.61489371007980553</v>
      </c>
      <c r="G12" s="31">
        <f>CORREL(Database!$V:$V,Database!F:F)</f>
        <v>-5.4366038897515831E-2</v>
      </c>
      <c r="H12" s="31">
        <f>CORREL(Database!$V:$V,Database!G:G)</f>
        <v>-0.4580634784568271</v>
      </c>
      <c r="I12" s="31">
        <f>CORREL(Database!$V:$V,Database!H:H)</f>
        <v>-0.37808614854673134</v>
      </c>
      <c r="J12" s="31">
        <f>CORREL(Database!$V:$V,Database!J:J)</f>
        <v>-0.55954794376640316</v>
      </c>
      <c r="K12" s="31">
        <f>CORREL(Database!$V:$V,Database!V:V)</f>
        <v>0.99999999999999989</v>
      </c>
    </row>
  </sheetData>
  <mergeCells count="3">
    <mergeCell ref="B4:D4"/>
    <mergeCell ref="E4:K4"/>
    <mergeCell ref="B2:C2"/>
  </mergeCells>
  <conditionalFormatting sqref="E6:K12">
    <cfRule type="colorScale" priority="4">
      <colorScale>
        <cfvo type="min"/>
        <cfvo type="percentile" val="50"/>
        <cfvo type="max"/>
        <color theme="5" tint="0.39997558519241921"/>
        <color rgb="FFFCFCFF"/>
        <color theme="9" tint="0.39997558519241921"/>
      </colorScale>
    </cfRule>
  </conditionalFormatting>
  <conditionalFormatting sqref="D6:D12">
    <cfRule type="dataBar" priority="2">
      <dataBar>
        <cfvo type="min"/>
        <cfvo type="max"/>
        <color rgb="FFFF555A"/>
      </dataBar>
      <extLst>
        <ext xmlns:x14="http://schemas.microsoft.com/office/spreadsheetml/2009/9/main" uri="{B025F937-C7B1-47D3-B67F-A62EFF666E3E}">
          <x14:id>{545286A0-A6A6-402E-B3F9-A0DAE9D5D8E2}</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545286A0-A6A6-402E-B3F9-A0DAE9D5D8E2}">
            <x14:dataBar minLength="0" maxLength="100" gradient="0">
              <x14:cfvo type="autoMin"/>
              <x14:cfvo type="autoMax"/>
              <x14:negativeFillColor rgb="FFFF0000"/>
              <x14:axisColor rgb="FF000000"/>
            </x14:dataBar>
          </x14:cfRule>
          <xm:sqref>D6:D12</xm:sqref>
        </x14:conditionalFormatting>
        <x14:conditionalFormatting xmlns:xm="http://schemas.microsoft.com/office/excel/2006/main">
          <x14:cfRule type="iconSet" priority="1" id="{E3DC5917-55CD-4CA0-9E30-69C8459576DA}">
            <x14:iconSet iconSet="3Triangles">
              <x14:cfvo type="percent">
                <xm:f>0</xm:f>
              </x14:cfvo>
              <x14:cfvo type="percent">
                <xm:f>33</xm:f>
              </x14:cfvo>
              <x14:cfvo type="percent">
                <xm:f>67</xm:f>
              </x14:cfvo>
            </x14:iconSet>
          </x14:cfRule>
          <xm:sqref>C6:C12</xm:sqref>
        </x14:conditionalFormatting>
      </x14:conditionalFormattings>
    </ex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B5C6F-47AF-43EA-B78F-2E5D60D570AD}">
  <sheetPr codeName="Sheet3"/>
  <dimension ref="A3:C94"/>
  <sheetViews>
    <sheetView showGridLines="0" workbookViewId="0">
      <selection activeCell="E4" sqref="E4"/>
    </sheetView>
  </sheetViews>
  <sheetFormatPr defaultRowHeight="14.4" x14ac:dyDescent="0.3"/>
  <cols>
    <col min="1" max="1" width="20.44140625" customWidth="1"/>
    <col min="2" max="2" width="26.33203125" bestFit="1" customWidth="1"/>
    <col min="3" max="14" width="7.77734375" bestFit="1" customWidth="1"/>
    <col min="15" max="15" width="9.6640625" bestFit="1" customWidth="1"/>
    <col min="16" max="16" width="12.109375" bestFit="1" customWidth="1"/>
    <col min="17" max="17" width="8.6640625" bestFit="1" customWidth="1"/>
    <col min="18" max="18" width="11.109375" bestFit="1" customWidth="1"/>
    <col min="19" max="19" width="9.6640625" bestFit="1" customWidth="1"/>
    <col min="20" max="20" width="12.109375" bestFit="1" customWidth="1"/>
    <col min="21" max="21" width="9.6640625" bestFit="1" customWidth="1"/>
    <col min="22" max="22" width="12.109375" bestFit="1" customWidth="1"/>
    <col min="23" max="23" width="9.6640625" bestFit="1" customWidth="1"/>
    <col min="24" max="24" width="12.109375" bestFit="1" customWidth="1"/>
    <col min="25" max="25" width="10.77734375" bestFit="1" customWidth="1"/>
  </cols>
  <sheetData>
    <row r="3" spans="1:3" x14ac:dyDescent="0.3">
      <c r="A3" s="35" t="s">
        <v>23</v>
      </c>
      <c r="B3" s="35" t="s">
        <v>91</v>
      </c>
      <c r="C3" s="1"/>
    </row>
    <row r="4" spans="1:3" x14ac:dyDescent="0.3">
      <c r="A4" s="24">
        <v>42401</v>
      </c>
      <c r="B4" s="1" t="s">
        <v>88</v>
      </c>
      <c r="C4" s="36">
        <v>2.3199999999999998</v>
      </c>
    </row>
    <row r="5" spans="1:3" x14ac:dyDescent="0.3">
      <c r="A5" s="1"/>
      <c r="B5" s="1" t="s">
        <v>89</v>
      </c>
      <c r="C5" s="36">
        <v>1.56</v>
      </c>
    </row>
    <row r="6" spans="1:3" x14ac:dyDescent="0.3">
      <c r="A6" s="1"/>
      <c r="B6" s="1" t="s">
        <v>90</v>
      </c>
      <c r="C6" s="36">
        <v>3.23</v>
      </c>
    </row>
    <row r="7" spans="1:3" x14ac:dyDescent="0.3">
      <c r="A7" s="1"/>
      <c r="B7" s="1" t="s">
        <v>92</v>
      </c>
      <c r="C7" s="36">
        <v>2.31</v>
      </c>
    </row>
    <row r="8" spans="1:3" x14ac:dyDescent="0.3">
      <c r="A8" s="1"/>
      <c r="B8" s="1" t="s">
        <v>93</v>
      </c>
      <c r="C8" s="36">
        <v>42.23</v>
      </c>
    </row>
    <row r="9" spans="1:3" x14ac:dyDescent="0.3">
      <c r="A9" s="1"/>
      <c r="B9" s="1" t="s">
        <v>94</v>
      </c>
      <c r="C9" s="36">
        <v>223.12</v>
      </c>
    </row>
    <row r="10" spans="1:3" x14ac:dyDescent="0.3">
      <c r="A10" s="1"/>
      <c r="B10" s="1" t="s">
        <v>95</v>
      </c>
      <c r="C10" s="36">
        <v>1.23</v>
      </c>
    </row>
    <row r="11" spans="1:3" x14ac:dyDescent="0.3">
      <c r="A11" s="24">
        <v>42552</v>
      </c>
      <c r="B11" s="1" t="s">
        <v>88</v>
      </c>
      <c r="C11" s="36">
        <v>9.2944600000000008</v>
      </c>
    </row>
    <row r="12" spans="1:3" x14ac:dyDescent="0.3">
      <c r="A12" s="1"/>
      <c r="B12" s="1" t="s">
        <v>89</v>
      </c>
      <c r="C12" s="36">
        <v>94.145099999999999</v>
      </c>
    </row>
    <row r="13" spans="1:3" x14ac:dyDescent="0.3">
      <c r="A13" s="1"/>
      <c r="B13" s="1" t="s">
        <v>90</v>
      </c>
      <c r="C13" s="36">
        <v>1.8712599999999999</v>
      </c>
    </row>
    <row r="14" spans="1:3" x14ac:dyDescent="0.3">
      <c r="A14" s="1"/>
      <c r="B14" s="1" t="s">
        <v>92</v>
      </c>
      <c r="C14" s="36">
        <v>1.3959600000000001</v>
      </c>
    </row>
    <row r="15" spans="1:3" x14ac:dyDescent="0.3">
      <c r="A15" s="1"/>
      <c r="B15" s="1" t="s">
        <v>93</v>
      </c>
      <c r="C15" s="36">
        <v>1.05054</v>
      </c>
    </row>
    <row r="16" spans="1:3" x14ac:dyDescent="0.3">
      <c r="A16" s="1"/>
      <c r="B16" s="1" t="s">
        <v>94</v>
      </c>
      <c r="C16" s="36">
        <v>143.64500000000001</v>
      </c>
    </row>
    <row r="17" spans="1:3" x14ac:dyDescent="0.3">
      <c r="A17" s="1"/>
      <c r="B17" s="1" t="s">
        <v>95</v>
      </c>
      <c r="C17" s="36">
        <v>1.2536700000000001</v>
      </c>
    </row>
    <row r="18" spans="1:3" x14ac:dyDescent="0.3">
      <c r="A18" s="24">
        <v>42556</v>
      </c>
      <c r="B18" s="1" t="s">
        <v>88</v>
      </c>
      <c r="C18" s="36">
        <v>9.3151499999999992</v>
      </c>
    </row>
    <row r="19" spans="1:3" x14ac:dyDescent="0.3">
      <c r="A19" s="1"/>
      <c r="B19" s="1" t="s">
        <v>89</v>
      </c>
      <c r="C19" s="36">
        <v>94.151300000000006</v>
      </c>
    </row>
    <row r="20" spans="1:3" x14ac:dyDescent="0.3">
      <c r="A20" s="1"/>
      <c r="B20" s="1" t="s">
        <v>90</v>
      </c>
      <c r="C20" s="36">
        <v>1.85825</v>
      </c>
    </row>
    <row r="21" spans="1:3" x14ac:dyDescent="0.3">
      <c r="A21" s="1"/>
      <c r="B21" s="1" t="s">
        <v>92</v>
      </c>
      <c r="C21" s="36">
        <v>1.3968400000000001</v>
      </c>
    </row>
    <row r="22" spans="1:3" x14ac:dyDescent="0.3">
      <c r="A22" s="1"/>
      <c r="B22" s="1" t="s">
        <v>93</v>
      </c>
      <c r="C22" s="36">
        <v>1.0614300000000001</v>
      </c>
    </row>
    <row r="23" spans="1:3" x14ac:dyDescent="0.3">
      <c r="A23" s="1"/>
      <c r="B23" s="1" t="s">
        <v>94</v>
      </c>
      <c r="C23" s="36">
        <v>142.715</v>
      </c>
    </row>
    <row r="24" spans="1:3" x14ac:dyDescent="0.3">
      <c r="A24" s="1"/>
      <c r="B24" s="1" t="s">
        <v>95</v>
      </c>
      <c r="C24" s="36">
        <v>1.25322</v>
      </c>
    </row>
    <row r="25" spans="1:3" x14ac:dyDescent="0.3">
      <c r="A25" s="24">
        <v>42557</v>
      </c>
      <c r="B25" s="1" t="s">
        <v>88</v>
      </c>
      <c r="C25" s="36">
        <v>9.3169699999999995</v>
      </c>
    </row>
    <row r="26" spans="1:3" x14ac:dyDescent="0.3">
      <c r="A26" s="1"/>
      <c r="B26" s="1" t="s">
        <v>89</v>
      </c>
      <c r="C26" s="36">
        <v>0</v>
      </c>
    </row>
    <row r="27" spans="1:3" x14ac:dyDescent="0.3">
      <c r="A27" s="1"/>
      <c r="B27" s="1" t="s">
        <v>90</v>
      </c>
      <c r="C27" s="36">
        <v>1.87313</v>
      </c>
    </row>
    <row r="28" spans="1:3" x14ac:dyDescent="0.3">
      <c r="A28" s="1"/>
      <c r="B28" s="1" t="s">
        <v>92</v>
      </c>
      <c r="C28" s="36">
        <v>1.39286</v>
      </c>
    </row>
    <row r="29" spans="1:3" x14ac:dyDescent="0.3">
      <c r="A29" s="1"/>
      <c r="B29" s="1" t="s">
        <v>93</v>
      </c>
      <c r="C29" s="36">
        <v>1.073</v>
      </c>
    </row>
    <row r="30" spans="1:3" x14ac:dyDescent="0.3">
      <c r="A30" s="1"/>
      <c r="B30" s="1" t="s">
        <v>94</v>
      </c>
      <c r="C30" s="36">
        <v>140.54</v>
      </c>
    </row>
    <row r="31" spans="1:3" x14ac:dyDescent="0.3">
      <c r="A31" s="1"/>
      <c r="B31" s="1" t="s">
        <v>95</v>
      </c>
      <c r="C31" s="36">
        <v>1.25434</v>
      </c>
    </row>
    <row r="32" spans="1:3" x14ac:dyDescent="0.3">
      <c r="A32" s="24">
        <v>42558</v>
      </c>
      <c r="B32" s="1" t="s">
        <v>88</v>
      </c>
      <c r="C32" s="36">
        <v>9.3131500000000003</v>
      </c>
    </row>
    <row r="33" spans="1:3" x14ac:dyDescent="0.3">
      <c r="A33" s="1"/>
      <c r="B33" s="1" t="s">
        <v>89</v>
      </c>
      <c r="C33" s="36">
        <v>94.034499999999994</v>
      </c>
    </row>
    <row r="34" spans="1:3" x14ac:dyDescent="0.3">
      <c r="A34" s="1"/>
      <c r="B34" s="1" t="s">
        <v>90</v>
      </c>
      <c r="C34" s="36">
        <v>1.85236</v>
      </c>
    </row>
    <row r="35" spans="1:3" x14ac:dyDescent="0.3">
      <c r="A35" s="1"/>
      <c r="B35" s="1" t="s">
        <v>92</v>
      </c>
      <c r="C35" s="36">
        <v>1.39316</v>
      </c>
    </row>
    <row r="36" spans="1:3" x14ac:dyDescent="0.3">
      <c r="A36" s="1"/>
      <c r="B36" s="1" t="s">
        <v>93</v>
      </c>
      <c r="C36" s="36">
        <v>1.06911</v>
      </c>
    </row>
    <row r="37" spans="1:3" x14ac:dyDescent="0.3">
      <c r="A37" s="1"/>
      <c r="B37" s="1" t="s">
        <v>94</v>
      </c>
      <c r="C37" s="36">
        <v>140.63999999999999</v>
      </c>
    </row>
    <row r="38" spans="1:3" x14ac:dyDescent="0.3">
      <c r="A38" s="1"/>
      <c r="B38" s="1" t="s">
        <v>95</v>
      </c>
      <c r="C38" s="36">
        <v>1.2573700000000001</v>
      </c>
    </row>
    <row r="39" spans="1:3" x14ac:dyDescent="0.3">
      <c r="A39" s="24">
        <v>42559</v>
      </c>
      <c r="B39" s="1" t="s">
        <v>88</v>
      </c>
      <c r="C39" s="36">
        <v>9.3134999999999994</v>
      </c>
    </row>
    <row r="40" spans="1:3" x14ac:dyDescent="0.3">
      <c r="A40" s="1"/>
      <c r="B40" s="1" t="s">
        <v>89</v>
      </c>
      <c r="C40" s="36">
        <v>93.940799999999996</v>
      </c>
    </row>
    <row r="41" spans="1:3" x14ac:dyDescent="0.3">
      <c r="A41" s="1"/>
      <c r="B41" s="1" t="s">
        <v>90</v>
      </c>
      <c r="C41" s="36">
        <v>1.8597399999999999</v>
      </c>
    </row>
    <row r="42" spans="1:3" x14ac:dyDescent="0.3">
      <c r="A42" s="1"/>
      <c r="B42" s="1" t="s">
        <v>92</v>
      </c>
      <c r="C42" s="36">
        <v>1.3925700000000001</v>
      </c>
    </row>
    <row r="43" spans="1:3" x14ac:dyDescent="0.3">
      <c r="A43" s="1"/>
      <c r="B43" s="1" t="s">
        <v>93</v>
      </c>
      <c r="C43" s="36">
        <v>1.0726100000000001</v>
      </c>
    </row>
    <row r="44" spans="1:3" x14ac:dyDescent="0.3">
      <c r="A44" s="1"/>
      <c r="B44" s="1" t="s">
        <v>94</v>
      </c>
      <c r="C44" s="36">
        <v>140.51</v>
      </c>
    </row>
    <row r="45" spans="1:3" x14ac:dyDescent="0.3">
      <c r="A45" s="1"/>
      <c r="B45" s="1" t="s">
        <v>95</v>
      </c>
      <c r="C45" s="36">
        <v>1.25797</v>
      </c>
    </row>
    <row r="46" spans="1:3" x14ac:dyDescent="0.3">
      <c r="A46" s="24">
        <v>42562</v>
      </c>
      <c r="B46" s="1" t="s">
        <v>88</v>
      </c>
      <c r="C46" s="36">
        <v>9.2940299999999993</v>
      </c>
    </row>
    <row r="47" spans="1:3" x14ac:dyDescent="0.3">
      <c r="A47" s="1"/>
      <c r="B47" s="1" t="s">
        <v>89</v>
      </c>
      <c r="C47" s="36">
        <v>93.302700000000002</v>
      </c>
    </row>
    <row r="48" spans="1:3" x14ac:dyDescent="0.3">
      <c r="A48" s="1"/>
      <c r="B48" s="1" t="s">
        <v>90</v>
      </c>
      <c r="C48" s="36">
        <v>1.83836</v>
      </c>
    </row>
    <row r="49" spans="1:3" x14ac:dyDescent="0.3">
      <c r="A49" s="1"/>
      <c r="B49" s="1" t="s">
        <v>92</v>
      </c>
      <c r="C49" s="36">
        <v>1.3896200000000001</v>
      </c>
    </row>
    <row r="50" spans="1:3" x14ac:dyDescent="0.3">
      <c r="A50" s="1"/>
      <c r="B50" s="1" t="s">
        <v>93</v>
      </c>
      <c r="C50" s="36">
        <v>1.0705</v>
      </c>
    </row>
    <row r="51" spans="1:3" x14ac:dyDescent="0.3">
      <c r="A51" s="1"/>
      <c r="B51" s="1" t="s">
        <v>94</v>
      </c>
      <c r="C51" s="36">
        <v>139.96199999999999</v>
      </c>
    </row>
    <row r="52" spans="1:3" x14ac:dyDescent="0.3">
      <c r="A52" s="1"/>
      <c r="B52" s="1" t="s">
        <v>95</v>
      </c>
      <c r="C52" s="36">
        <v>1.25769</v>
      </c>
    </row>
    <row r="53" spans="1:3" x14ac:dyDescent="0.3">
      <c r="A53" s="24">
        <v>42563</v>
      </c>
      <c r="B53" s="1" t="s">
        <v>88</v>
      </c>
      <c r="C53" s="36">
        <v>9.3102099999999997</v>
      </c>
    </row>
    <row r="54" spans="1:3" x14ac:dyDescent="0.3">
      <c r="A54" s="1"/>
      <c r="B54" s="1" t="s">
        <v>89</v>
      </c>
      <c r="C54" s="36">
        <v>93.464100000000002</v>
      </c>
    </row>
    <row r="55" spans="1:3" x14ac:dyDescent="0.3">
      <c r="A55" s="1"/>
      <c r="B55" s="1" t="s">
        <v>90</v>
      </c>
      <c r="C55" s="36">
        <v>1.83439</v>
      </c>
    </row>
    <row r="56" spans="1:3" x14ac:dyDescent="0.3">
      <c r="A56" s="1"/>
      <c r="B56" s="1" t="s">
        <v>92</v>
      </c>
      <c r="C56" s="36">
        <v>1.39194</v>
      </c>
    </row>
    <row r="57" spans="1:3" x14ac:dyDescent="0.3">
      <c r="A57" s="1"/>
      <c r="B57" s="1" t="s">
        <v>93</v>
      </c>
      <c r="C57" s="36">
        <v>1.05762</v>
      </c>
    </row>
    <row r="58" spans="1:3" x14ac:dyDescent="0.3">
      <c r="A58" s="1"/>
      <c r="B58" s="1" t="s">
        <v>94</v>
      </c>
      <c r="C58" s="36">
        <v>143.369</v>
      </c>
    </row>
    <row r="59" spans="1:3" x14ac:dyDescent="0.3">
      <c r="A59" s="1"/>
      <c r="B59" s="1" t="s">
        <v>95</v>
      </c>
      <c r="C59" s="36">
        <v>1.2548999999999999</v>
      </c>
    </row>
    <row r="60" spans="1:3" x14ac:dyDescent="0.3">
      <c r="A60" s="24">
        <v>42564</v>
      </c>
      <c r="B60" s="1" t="s">
        <v>88</v>
      </c>
      <c r="C60" s="36">
        <v>9.3134999999999994</v>
      </c>
    </row>
    <row r="61" spans="1:3" x14ac:dyDescent="0.3">
      <c r="A61" s="1"/>
      <c r="B61" s="1" t="s">
        <v>89</v>
      </c>
      <c r="C61" s="36">
        <v>93.544499999999999</v>
      </c>
    </row>
    <row r="62" spans="1:3" x14ac:dyDescent="0.3">
      <c r="A62" s="1"/>
      <c r="B62" s="1" t="s">
        <v>90</v>
      </c>
      <c r="C62" s="36">
        <v>1.83101</v>
      </c>
    </row>
    <row r="63" spans="1:3" x14ac:dyDescent="0.3">
      <c r="A63" s="1"/>
      <c r="B63" s="1" t="s">
        <v>92</v>
      </c>
      <c r="C63" s="36">
        <v>1.3919299999999999</v>
      </c>
    </row>
    <row r="64" spans="1:3" x14ac:dyDescent="0.3">
      <c r="A64" s="1"/>
      <c r="B64" s="1" t="s">
        <v>93</v>
      </c>
      <c r="C64" s="36">
        <v>1.0468</v>
      </c>
    </row>
    <row r="65" spans="1:3" x14ac:dyDescent="0.3">
      <c r="A65" s="1"/>
      <c r="B65" s="1" t="s">
        <v>94</v>
      </c>
      <c r="C65" s="36">
        <v>145.178</v>
      </c>
    </row>
    <row r="66" spans="1:3" x14ac:dyDescent="0.3">
      <c r="A66" s="1"/>
      <c r="B66" s="1" t="s">
        <v>95</v>
      </c>
      <c r="C66" s="36">
        <v>1.2571600000000001</v>
      </c>
    </row>
    <row r="67" spans="1:3" x14ac:dyDescent="0.3">
      <c r="A67" s="24">
        <v>42565</v>
      </c>
      <c r="B67" s="1" t="s">
        <v>88</v>
      </c>
      <c r="C67" s="36">
        <v>9.3043200000000006</v>
      </c>
    </row>
    <row r="68" spans="1:3" x14ac:dyDescent="0.3">
      <c r="A68" s="1"/>
      <c r="B68" s="1" t="s">
        <v>89</v>
      </c>
      <c r="C68" s="36">
        <v>93.091700000000003</v>
      </c>
    </row>
    <row r="69" spans="1:3" x14ac:dyDescent="0.3">
      <c r="A69" s="1"/>
      <c r="B69" s="1" t="s">
        <v>90</v>
      </c>
      <c r="C69" s="36">
        <v>1.8279099999999999</v>
      </c>
    </row>
    <row r="70" spans="1:3" x14ac:dyDescent="0.3">
      <c r="A70" s="1"/>
      <c r="B70" s="1" t="s">
        <v>92</v>
      </c>
      <c r="C70" s="36">
        <v>1.3912199999999999</v>
      </c>
    </row>
    <row r="71" spans="1:3" x14ac:dyDescent="0.3">
      <c r="A71" s="1"/>
      <c r="B71" s="1" t="s">
        <v>93</v>
      </c>
      <c r="C71" s="36">
        <v>1.05236</v>
      </c>
    </row>
    <row r="72" spans="1:3" x14ac:dyDescent="0.3">
      <c r="A72" s="1"/>
      <c r="B72" s="1" t="s">
        <v>94</v>
      </c>
      <c r="C72" s="36">
        <v>144.89500000000001</v>
      </c>
    </row>
    <row r="73" spans="1:3" x14ac:dyDescent="0.3">
      <c r="A73" s="1"/>
      <c r="B73" s="1" t="s">
        <v>95</v>
      </c>
      <c r="C73" s="36">
        <v>1.24695</v>
      </c>
    </row>
    <row r="74" spans="1:3" x14ac:dyDescent="0.3">
      <c r="A74" s="24">
        <v>42566</v>
      </c>
      <c r="B74" s="1" t="s">
        <v>88</v>
      </c>
      <c r="C74" s="36">
        <v>9.3153199999999998</v>
      </c>
    </row>
    <row r="75" spans="1:3" x14ac:dyDescent="0.3">
      <c r="A75" s="1"/>
      <c r="B75" s="1" t="s">
        <v>89</v>
      </c>
      <c r="C75" s="36">
        <v>0</v>
      </c>
    </row>
    <row r="76" spans="1:3" x14ac:dyDescent="0.3">
      <c r="A76" s="1"/>
      <c r="B76" s="1" t="s">
        <v>90</v>
      </c>
      <c r="C76" s="36">
        <v>1.82786</v>
      </c>
    </row>
    <row r="77" spans="1:3" x14ac:dyDescent="0.3">
      <c r="A77" s="1"/>
      <c r="B77" s="1" t="s">
        <v>92</v>
      </c>
      <c r="C77" s="36">
        <v>1.39392</v>
      </c>
    </row>
    <row r="78" spans="1:3" x14ac:dyDescent="0.3">
      <c r="A78" s="1"/>
      <c r="B78" s="1" t="s">
        <v>93</v>
      </c>
      <c r="C78" s="36">
        <v>1.0424199999999999</v>
      </c>
    </row>
    <row r="79" spans="1:3" x14ac:dyDescent="0.3">
      <c r="A79" s="1"/>
      <c r="B79" s="1" t="s">
        <v>94</v>
      </c>
      <c r="C79" s="36">
        <v>147.268</v>
      </c>
    </row>
    <row r="80" spans="1:3" x14ac:dyDescent="0.3">
      <c r="A80" s="1"/>
      <c r="B80" s="1" t="s">
        <v>95</v>
      </c>
      <c r="C80" s="36">
        <v>1.2526299999999999</v>
      </c>
    </row>
    <row r="81" spans="1:3" x14ac:dyDescent="0.3">
      <c r="A81" s="24">
        <v>42569</v>
      </c>
      <c r="B81" s="1" t="s">
        <v>88</v>
      </c>
      <c r="C81" s="36">
        <v>9.3035399999999999</v>
      </c>
    </row>
    <row r="82" spans="1:3" x14ac:dyDescent="0.3">
      <c r="A82" s="1"/>
      <c r="B82" s="1" t="s">
        <v>89</v>
      </c>
      <c r="C82" s="36">
        <v>93.192300000000003</v>
      </c>
    </row>
    <row r="83" spans="1:3" x14ac:dyDescent="0.3">
      <c r="A83" s="1"/>
      <c r="B83" s="1" t="s">
        <v>90</v>
      </c>
      <c r="C83" s="36">
        <v>1.82741</v>
      </c>
    </row>
    <row r="84" spans="1:3" x14ac:dyDescent="0.3">
      <c r="A84" s="1"/>
      <c r="B84" s="1" t="s">
        <v>92</v>
      </c>
      <c r="C84" s="36">
        <v>1.38883</v>
      </c>
    </row>
    <row r="85" spans="1:3" x14ac:dyDescent="0.3">
      <c r="A85" s="1"/>
      <c r="B85" s="1" t="s">
        <v>93</v>
      </c>
      <c r="C85" s="36">
        <v>1.04952</v>
      </c>
    </row>
    <row r="86" spans="1:3" x14ac:dyDescent="0.3">
      <c r="A86" s="1"/>
      <c r="B86" s="1" t="s">
        <v>94</v>
      </c>
      <c r="C86" s="36">
        <v>0</v>
      </c>
    </row>
    <row r="87" spans="1:3" x14ac:dyDescent="0.3">
      <c r="A87" s="1"/>
      <c r="B87" s="1" t="s">
        <v>95</v>
      </c>
      <c r="C87" s="36">
        <v>1.2565200000000001</v>
      </c>
    </row>
    <row r="88" spans="1:3" x14ac:dyDescent="0.3">
      <c r="A88" s="24">
        <v>42768</v>
      </c>
      <c r="B88" s="1" t="s">
        <v>88</v>
      </c>
      <c r="C88" s="36">
        <v>2.323</v>
      </c>
    </row>
    <row r="89" spans="1:3" x14ac:dyDescent="0.3">
      <c r="A89" s="1"/>
      <c r="B89" s="1" t="s">
        <v>89</v>
      </c>
      <c r="C89" s="36">
        <v>11.23</v>
      </c>
    </row>
    <row r="90" spans="1:3" x14ac:dyDescent="0.3">
      <c r="A90" s="1"/>
      <c r="B90" s="1" t="s">
        <v>90</v>
      </c>
      <c r="C90" s="36">
        <v>2.3199999999999998</v>
      </c>
    </row>
    <row r="91" spans="1:3" x14ac:dyDescent="0.3">
      <c r="A91" s="1"/>
      <c r="B91" s="1" t="s">
        <v>92</v>
      </c>
      <c r="C91" s="36">
        <v>323.22000000000003</v>
      </c>
    </row>
    <row r="92" spans="1:3" x14ac:dyDescent="0.3">
      <c r="A92" s="1"/>
      <c r="B92" s="1" t="s">
        <v>93</v>
      </c>
      <c r="C92" s="36">
        <v>2.54</v>
      </c>
    </row>
    <row r="93" spans="1:3" x14ac:dyDescent="0.3">
      <c r="A93" s="1"/>
      <c r="B93" s="1" t="s">
        <v>94</v>
      </c>
      <c r="C93" s="36">
        <v>4.34</v>
      </c>
    </row>
    <row r="94" spans="1:3" x14ac:dyDescent="0.3">
      <c r="A94" s="1"/>
      <c r="B94" s="1" t="s">
        <v>95</v>
      </c>
      <c r="C94" s="36">
        <v>1.2230000000000001</v>
      </c>
    </row>
  </sheetData>
  <conditionalFormatting pivot="1" sqref="C4:C94">
    <cfRule type="dataBar" priority="1">
      <dataBar>
        <cfvo type="min"/>
        <cfvo type="max"/>
        <color rgb="FFFFB628"/>
      </dataBar>
      <extLst>
        <ext xmlns:x14="http://schemas.microsoft.com/office/spreadsheetml/2009/9/main" uri="{B025F937-C7B1-47D3-B67F-A62EFF666E3E}">
          <x14:id>{B7D024FD-C8D3-4004-A728-56116C649F94}</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B7D024FD-C8D3-4004-A728-56116C649F94}">
            <x14:dataBar minLength="0" maxLength="100" border="1" negativeBarBorderColorSameAsPositive="0">
              <x14:cfvo type="autoMin"/>
              <x14:cfvo type="autoMax"/>
              <x14:borderColor rgb="FFFFB628"/>
              <x14:negativeFillColor rgb="FFFF0000"/>
              <x14:negativeBorderColor rgb="FFFF0000"/>
              <x14:axisColor rgb="FF000000"/>
            </x14:dataBar>
          </x14:cfRule>
          <xm:sqref>C4:C94</xm:sqref>
        </x14:conditionalFormatting>
      </x14:conditionalFormattings>
    </ex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2C207-3712-4E19-9A33-F2119FE5AD5A}">
  <dimension ref="A2:C9"/>
  <sheetViews>
    <sheetView topLeftCell="A9" workbookViewId="0">
      <selection activeCell="M28" sqref="M28"/>
    </sheetView>
  </sheetViews>
  <sheetFormatPr defaultRowHeight="14.4" x14ac:dyDescent="0.3"/>
  <cols>
    <col min="1" max="1" width="22.77734375" bestFit="1" customWidth="1"/>
    <col min="2" max="2" width="6.109375" bestFit="1" customWidth="1"/>
    <col min="3" max="3" width="7.77734375" bestFit="1" customWidth="1"/>
    <col min="4" max="4" width="10.77734375" bestFit="1" customWidth="1"/>
    <col min="5" max="7" width="7.77734375" bestFit="1" customWidth="1"/>
    <col min="8" max="13" width="8.21875" bestFit="1" customWidth="1"/>
    <col min="14" max="14" width="8.109375" bestFit="1" customWidth="1"/>
    <col min="15" max="15" width="10.77734375" bestFit="1" customWidth="1"/>
  </cols>
  <sheetData>
    <row r="2" spans="1:3" x14ac:dyDescent="0.3">
      <c r="B2" t="s">
        <v>86</v>
      </c>
      <c r="C2" t="s">
        <v>87</v>
      </c>
    </row>
    <row r="3" spans="1:3" x14ac:dyDescent="0.3">
      <c r="A3" s="33" t="s">
        <v>103</v>
      </c>
      <c r="B3" s="34">
        <v>1.2230000000000001</v>
      </c>
      <c r="C3" s="34">
        <v>1.24695</v>
      </c>
    </row>
    <row r="4" spans="1:3" x14ac:dyDescent="0.3">
      <c r="A4" s="33" t="s">
        <v>104</v>
      </c>
      <c r="B4" s="34">
        <v>2.3199999999999998</v>
      </c>
      <c r="C4" s="34">
        <v>9.2940299999999993</v>
      </c>
    </row>
    <row r="5" spans="1:3" x14ac:dyDescent="0.3">
      <c r="A5" s="33" t="s">
        <v>105</v>
      </c>
      <c r="B5" s="34">
        <v>4.34</v>
      </c>
      <c r="C5" s="34">
        <v>0</v>
      </c>
    </row>
    <row r="6" spans="1:3" x14ac:dyDescent="0.3">
      <c r="A6" s="33" t="s">
        <v>106</v>
      </c>
      <c r="B6" s="34">
        <v>2.54</v>
      </c>
      <c r="C6" s="34">
        <v>1.0424199999999999</v>
      </c>
    </row>
    <row r="7" spans="1:3" x14ac:dyDescent="0.3">
      <c r="A7" s="33" t="s">
        <v>107</v>
      </c>
      <c r="B7" s="34">
        <v>2.31</v>
      </c>
      <c r="C7" s="34">
        <v>1.38883</v>
      </c>
    </row>
    <row r="8" spans="1:3" x14ac:dyDescent="0.3">
      <c r="A8" s="33" t="s">
        <v>108</v>
      </c>
      <c r="B8" s="34">
        <v>1.56</v>
      </c>
      <c r="C8" s="34">
        <v>0</v>
      </c>
    </row>
    <row r="9" spans="1:3" x14ac:dyDescent="0.3">
      <c r="A9" s="33" t="s">
        <v>109</v>
      </c>
      <c r="B9" s="34">
        <v>2.3199999999999998</v>
      </c>
      <c r="C9" s="34">
        <v>1.82741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Form</vt:lpstr>
      <vt:lpstr>Database</vt:lpstr>
      <vt:lpstr>Max</vt:lpstr>
      <vt:lpstr>Statistics</vt:lpstr>
      <vt:lpstr>Long form</vt:lpstr>
      <vt:lpstr>Min</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Tanmay Ghosh</dc:creator>
  <cp:lastModifiedBy>Ghosh, Tanmay</cp:lastModifiedBy>
  <dcterms:created xsi:type="dcterms:W3CDTF">2015-06-05T18:17:20Z</dcterms:created>
  <dcterms:modified xsi:type="dcterms:W3CDTF">2023-06-23T19:46:14Z</dcterms:modified>
</cp:coreProperties>
</file>